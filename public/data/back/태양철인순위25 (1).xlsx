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840" yWindow="240" windowWidth="13785" windowHeight="10260"/>
  </bookViews>
  <sheets>
    <sheet name="순위" sheetId="2" r:id="rId1"/>
  </sheets>
  <calcPr calcId="124519"/>
</workbook>
</file>

<file path=xl/calcChain.xml><?xml version="1.0" encoding="utf-8"?>
<calcChain xmlns="http://schemas.openxmlformats.org/spreadsheetml/2006/main">
  <c r="R89" i="2"/>
  <c r="O89"/>
  <c r="N89"/>
  <c r="K89"/>
  <c r="J89"/>
  <c r="T89" s="1"/>
  <c r="R30" l="1"/>
  <c r="O30"/>
  <c r="N30"/>
  <c r="K30"/>
  <c r="J30"/>
  <c r="R37"/>
  <c r="O37"/>
  <c r="N37"/>
  <c r="K37"/>
  <c r="J37"/>
  <c r="R73"/>
  <c r="O73"/>
  <c r="N73"/>
  <c r="K73"/>
  <c r="J73"/>
  <c r="R92"/>
  <c r="O92"/>
  <c r="N92"/>
  <c r="K92"/>
  <c r="J92"/>
  <c r="R94"/>
  <c r="O94"/>
  <c r="N94"/>
  <c r="K94"/>
  <c r="J94"/>
  <c r="R72"/>
  <c r="O72"/>
  <c r="N72"/>
  <c r="K72"/>
  <c r="J72"/>
  <c r="R91"/>
  <c r="O91"/>
  <c r="N91"/>
  <c r="K91"/>
  <c r="J91"/>
  <c r="R14"/>
  <c r="O14"/>
  <c r="N14"/>
  <c r="K14"/>
  <c r="J14"/>
  <c r="R32"/>
  <c r="O32"/>
  <c r="N32"/>
  <c r="K32"/>
  <c r="J32"/>
  <c r="R82"/>
  <c r="O82"/>
  <c r="N82"/>
  <c r="K82"/>
  <c r="J82"/>
  <c r="R74"/>
  <c r="O74"/>
  <c r="N74"/>
  <c r="K74"/>
  <c r="J74"/>
  <c r="R51"/>
  <c r="O51"/>
  <c r="N51"/>
  <c r="K51"/>
  <c r="J51"/>
  <c r="R10"/>
  <c r="O10"/>
  <c r="N10"/>
  <c r="K10"/>
  <c r="J10"/>
  <c r="R58"/>
  <c r="O58"/>
  <c r="N58"/>
  <c r="K58"/>
  <c r="J58"/>
  <c r="R27"/>
  <c r="O27"/>
  <c r="N27"/>
  <c r="K27"/>
  <c r="J27"/>
  <c r="R93"/>
  <c r="O93"/>
  <c r="N93"/>
  <c r="K93"/>
  <c r="J93"/>
  <c r="R35"/>
  <c r="O35"/>
  <c r="N35"/>
  <c r="K35"/>
  <c r="J35"/>
  <c r="R9"/>
  <c r="O9"/>
  <c r="N9"/>
  <c r="K9"/>
  <c r="J9"/>
  <c r="R61"/>
  <c r="O61"/>
  <c r="N61"/>
  <c r="K61"/>
  <c r="J61"/>
  <c r="R95"/>
  <c r="O95"/>
  <c r="N95"/>
  <c r="K95"/>
  <c r="J95"/>
  <c r="R54"/>
  <c r="O54"/>
  <c r="N54"/>
  <c r="K54"/>
  <c r="J54"/>
  <c r="R60"/>
  <c r="O60"/>
  <c r="N60"/>
  <c r="K60"/>
  <c r="J60"/>
  <c r="R4"/>
  <c r="O4"/>
  <c r="N4"/>
  <c r="K4"/>
  <c r="J4"/>
  <c r="R96"/>
  <c r="O96"/>
  <c r="N96"/>
  <c r="K96"/>
  <c r="J96"/>
  <c r="R25"/>
  <c r="O25"/>
  <c r="N25"/>
  <c r="K25"/>
  <c r="J25"/>
  <c r="R63"/>
  <c r="O63"/>
  <c r="N63"/>
  <c r="K63"/>
  <c r="J63"/>
  <c r="R68"/>
  <c r="O68"/>
  <c r="N68"/>
  <c r="K68"/>
  <c r="J68"/>
  <c r="R69"/>
  <c r="O69"/>
  <c r="N69"/>
  <c r="K69"/>
  <c r="J69"/>
  <c r="R42"/>
  <c r="O42"/>
  <c r="N42"/>
  <c r="K42"/>
  <c r="J42"/>
  <c r="R3"/>
  <c r="O3"/>
  <c r="N3"/>
  <c r="K3"/>
  <c r="J3"/>
  <c r="R23"/>
  <c r="O23"/>
  <c r="N23"/>
  <c r="K23"/>
  <c r="J23"/>
  <c r="R78"/>
  <c r="O78"/>
  <c r="N78"/>
  <c r="K78"/>
  <c r="J78"/>
  <c r="R62"/>
  <c r="O62"/>
  <c r="N62"/>
  <c r="K62"/>
  <c r="J62"/>
  <c r="R77"/>
  <c r="O77"/>
  <c r="N77"/>
  <c r="K77"/>
  <c r="J77"/>
  <c r="R18"/>
  <c r="O18"/>
  <c r="N18"/>
  <c r="K18"/>
  <c r="J18"/>
  <c r="R75"/>
  <c r="O75"/>
  <c r="N75"/>
  <c r="K75"/>
  <c r="J75"/>
  <c r="R24"/>
  <c r="O24"/>
  <c r="N24"/>
  <c r="K24"/>
  <c r="J24"/>
  <c r="R29"/>
  <c r="O29"/>
  <c r="N29"/>
  <c r="K29"/>
  <c r="J29"/>
  <c r="R34"/>
  <c r="O34"/>
  <c r="N34"/>
  <c r="K34"/>
  <c r="J34"/>
  <c r="R56"/>
  <c r="O56"/>
  <c r="N56"/>
  <c r="K56"/>
  <c r="J56"/>
  <c r="R44"/>
  <c r="O44"/>
  <c r="N44"/>
  <c r="K44"/>
  <c r="J44"/>
  <c r="R85"/>
  <c r="O85"/>
  <c r="N85"/>
  <c r="K85"/>
  <c r="J85"/>
  <c r="R48"/>
  <c r="O48"/>
  <c r="N48"/>
  <c r="K48"/>
  <c r="J48"/>
  <c r="R81"/>
  <c r="O81"/>
  <c r="N81"/>
  <c r="K81"/>
  <c r="J81"/>
  <c r="R59"/>
  <c r="O59"/>
  <c r="N59"/>
  <c r="K59"/>
  <c r="J59"/>
  <c r="R76"/>
  <c r="O76"/>
  <c r="N76"/>
  <c r="K76"/>
  <c r="J76"/>
  <c r="R80"/>
  <c r="O80"/>
  <c r="N80"/>
  <c r="K80"/>
  <c r="J80"/>
  <c r="R50"/>
  <c r="O50"/>
  <c r="N50"/>
  <c r="K50"/>
  <c r="J50"/>
  <c r="R8"/>
  <c r="O8"/>
  <c r="N8"/>
  <c r="K8"/>
  <c r="J8"/>
  <c r="R52"/>
  <c r="O52"/>
  <c r="N52"/>
  <c r="K52"/>
  <c r="J52"/>
  <c r="R70"/>
  <c r="O70"/>
  <c r="N70"/>
  <c r="K70"/>
  <c r="J70"/>
  <c r="R86"/>
  <c r="O86"/>
  <c r="N86"/>
  <c r="K86"/>
  <c r="J86"/>
  <c r="R12"/>
  <c r="O12"/>
  <c r="N12"/>
  <c r="K12"/>
  <c r="J12"/>
  <c r="R79"/>
  <c r="O79"/>
  <c r="N79"/>
  <c r="K79"/>
  <c r="J79"/>
  <c r="R7"/>
  <c r="O7"/>
  <c r="N7"/>
  <c r="K7"/>
  <c r="J7"/>
  <c r="R15"/>
  <c r="O15"/>
  <c r="N15"/>
  <c r="K15"/>
  <c r="J15"/>
  <c r="R71"/>
  <c r="O71"/>
  <c r="N71"/>
  <c r="K71"/>
  <c r="J71"/>
  <c r="R67"/>
  <c r="O67"/>
  <c r="N67"/>
  <c r="K67"/>
  <c r="J67"/>
  <c r="R84"/>
  <c r="O84"/>
  <c r="N84"/>
  <c r="K84"/>
  <c r="J84"/>
  <c r="R46"/>
  <c r="O46"/>
  <c r="N46"/>
  <c r="K46"/>
  <c r="J46"/>
  <c r="R16"/>
  <c r="O16"/>
  <c r="N16"/>
  <c r="K16"/>
  <c r="J16"/>
  <c r="R83"/>
  <c r="O83"/>
  <c r="N83"/>
  <c r="K83"/>
  <c r="J83"/>
  <c r="R33"/>
  <c r="O33"/>
  <c r="N33"/>
  <c r="K33"/>
  <c r="J33"/>
  <c r="R17"/>
  <c r="O17"/>
  <c r="N17"/>
  <c r="K17"/>
  <c r="J17"/>
  <c r="R19"/>
  <c r="O19"/>
  <c r="N19"/>
  <c r="K19"/>
  <c r="J19"/>
  <c r="R38"/>
  <c r="O38"/>
  <c r="N38"/>
  <c r="K38"/>
  <c r="J38"/>
  <c r="R40"/>
  <c r="O40"/>
  <c r="N40"/>
  <c r="K40"/>
  <c r="J40"/>
  <c r="R5"/>
  <c r="O5"/>
  <c r="N5"/>
  <c r="K5"/>
  <c r="J5"/>
  <c r="R31"/>
  <c r="O31"/>
  <c r="N31"/>
  <c r="K31"/>
  <c r="J31"/>
  <c r="R11"/>
  <c r="O11"/>
  <c r="N11"/>
  <c r="K11"/>
  <c r="J11"/>
  <c r="R13"/>
  <c r="O13"/>
  <c r="N13"/>
  <c r="K13"/>
  <c r="J13"/>
  <c r="R53"/>
  <c r="O53"/>
  <c r="N53"/>
  <c r="K53"/>
  <c r="J53"/>
  <c r="R2"/>
  <c r="O2"/>
  <c r="N2"/>
  <c r="K2"/>
  <c r="J2"/>
  <c r="R26"/>
  <c r="O26"/>
  <c r="N26"/>
  <c r="K26"/>
  <c r="J26"/>
  <c r="R28"/>
  <c r="O28"/>
  <c r="N28"/>
  <c r="K28"/>
  <c r="J28"/>
  <c r="R65"/>
  <c r="O65"/>
  <c r="N65"/>
  <c r="K65"/>
  <c r="J65"/>
  <c r="R55"/>
  <c r="O55"/>
  <c r="N55"/>
  <c r="K55"/>
  <c r="J55"/>
  <c r="R20"/>
  <c r="O20"/>
  <c r="N20"/>
  <c r="K20"/>
  <c r="J20"/>
  <c r="R41"/>
  <c r="O41"/>
  <c r="N41"/>
  <c r="K41"/>
  <c r="J41"/>
  <c r="R90"/>
  <c r="O90"/>
  <c r="N90"/>
  <c r="K90"/>
  <c r="J90"/>
  <c r="R43"/>
  <c r="O43"/>
  <c r="N43"/>
  <c r="K43"/>
  <c r="J43"/>
  <c r="R49"/>
  <c r="O49"/>
  <c r="N49"/>
  <c r="K49"/>
  <c r="J49"/>
  <c r="R87"/>
  <c r="O87"/>
  <c r="N87"/>
  <c r="K87"/>
  <c r="J87"/>
  <c r="R57"/>
  <c r="O57"/>
  <c r="N57"/>
  <c r="K57"/>
  <c r="J57"/>
  <c r="R21"/>
  <c r="O21"/>
  <c r="N21"/>
  <c r="K21"/>
  <c r="J21"/>
  <c r="R64"/>
  <c r="O64"/>
  <c r="N64"/>
  <c r="K64"/>
  <c r="J64"/>
  <c r="R6"/>
  <c r="O6"/>
  <c r="N6"/>
  <c r="K6"/>
  <c r="J6"/>
  <c r="R47"/>
  <c r="O47"/>
  <c r="N47"/>
  <c r="K47"/>
  <c r="J47"/>
  <c r="R39"/>
  <c r="O39"/>
  <c r="N39"/>
  <c r="K39"/>
  <c r="J39"/>
  <c r="R22"/>
  <c r="O22"/>
  <c r="N22"/>
  <c r="K22"/>
  <c r="J22"/>
  <c r="R45"/>
  <c r="O45"/>
  <c r="N45"/>
  <c r="K45"/>
  <c r="J45"/>
  <c r="R88"/>
  <c r="O88"/>
  <c r="N88"/>
  <c r="K88"/>
  <c r="J88"/>
  <c r="R66"/>
  <c r="O66"/>
  <c r="N66"/>
  <c r="K66"/>
  <c r="J66"/>
  <c r="R36"/>
  <c r="O36"/>
  <c r="N36"/>
  <c r="K36"/>
  <c r="J36"/>
  <c r="T37" l="1"/>
  <c r="T92"/>
  <c r="T73"/>
  <c r="T43"/>
  <c r="T20"/>
  <c r="T72"/>
  <c r="T64"/>
  <c r="T18"/>
  <c r="T68"/>
  <c r="T4"/>
  <c r="T87"/>
  <c r="T30"/>
  <c r="T54"/>
  <c r="T35"/>
  <c r="T47"/>
  <c r="T10"/>
  <c r="T24"/>
  <c r="T79"/>
  <c r="T76"/>
  <c r="T81"/>
  <c r="T56"/>
  <c r="T3"/>
  <c r="T69"/>
  <c r="T63"/>
  <c r="T95"/>
  <c r="T2"/>
  <c r="T13"/>
  <c r="T31"/>
  <c r="T19"/>
  <c r="T84"/>
  <c r="T80"/>
  <c r="T65"/>
  <c r="T26"/>
  <c r="T32"/>
  <c r="T29"/>
  <c r="T75"/>
  <c r="T71"/>
  <c r="T82"/>
  <c r="T70"/>
  <c r="T7"/>
  <c r="T91"/>
  <c r="T22"/>
  <c r="T40"/>
  <c r="T33"/>
  <c r="T16"/>
  <c r="T59"/>
  <c r="T44"/>
  <c r="T36"/>
  <c r="T88"/>
  <c r="T45"/>
  <c r="T39"/>
  <c r="T86"/>
  <c r="T8"/>
  <c r="T85"/>
  <c r="T77"/>
  <c r="T78"/>
  <c r="T42"/>
  <c r="T96"/>
  <c r="T27"/>
  <c r="T51"/>
  <c r="T66"/>
  <c r="T6"/>
  <c r="T21"/>
  <c r="T57"/>
  <c r="T49"/>
  <c r="T90"/>
  <c r="T41"/>
  <c r="T55"/>
  <c r="T28"/>
  <c r="T53"/>
  <c r="T11"/>
  <c r="T5"/>
  <c r="T38"/>
  <c r="T17"/>
  <c r="T83"/>
  <c r="T46"/>
  <c r="T67"/>
  <c r="T15"/>
  <c r="T14"/>
  <c r="T94"/>
  <c r="T12"/>
  <c r="T52"/>
  <c r="T50"/>
  <c r="T48"/>
  <c r="T34"/>
  <c r="T62"/>
  <c r="T23"/>
  <c r="T25"/>
  <c r="T60"/>
  <c r="T61"/>
  <c r="T9"/>
  <c r="T93"/>
  <c r="T58"/>
  <c r="T74"/>
</calcChain>
</file>

<file path=xl/sharedStrings.xml><?xml version="1.0" encoding="utf-8"?>
<sst xmlns="http://schemas.openxmlformats.org/spreadsheetml/2006/main" count="453" uniqueCount="235">
  <si>
    <t>순  위</t>
    <phoneticPr fontId="1" type="noConversion"/>
  </si>
  <si>
    <t>배  번</t>
    <phoneticPr fontId="1" type="noConversion"/>
  </si>
  <si>
    <t>성   명</t>
    <phoneticPr fontId="1" type="noConversion"/>
  </si>
  <si>
    <t>영문성명</t>
    <phoneticPr fontId="1" type="noConversion"/>
  </si>
  <si>
    <t>지 역</t>
    <phoneticPr fontId="1" type="noConversion"/>
  </si>
  <si>
    <t>S-S</t>
    <phoneticPr fontId="1" type="noConversion"/>
  </si>
  <si>
    <t>S-F</t>
    <phoneticPr fontId="1" type="noConversion"/>
  </si>
  <si>
    <t>S-R</t>
    <phoneticPr fontId="1" type="noConversion"/>
  </si>
  <si>
    <t>T1</t>
    <phoneticPr fontId="1" type="noConversion"/>
  </si>
  <si>
    <t>B-S</t>
    <phoneticPr fontId="1" type="noConversion"/>
  </si>
  <si>
    <t>B-F</t>
    <phoneticPr fontId="1" type="noConversion"/>
  </si>
  <si>
    <t>B-R</t>
    <phoneticPr fontId="1" type="noConversion"/>
  </si>
  <si>
    <t>T2</t>
    <phoneticPr fontId="1" type="noConversion"/>
  </si>
  <si>
    <t>R-S</t>
    <phoneticPr fontId="1" type="noConversion"/>
  </si>
  <si>
    <t>R-F</t>
    <phoneticPr fontId="1" type="noConversion"/>
  </si>
  <si>
    <t>R-R</t>
    <phoneticPr fontId="1" type="noConversion"/>
  </si>
  <si>
    <t>T-R</t>
    <phoneticPr fontId="1" type="noConversion"/>
  </si>
  <si>
    <t>김남수</t>
  </si>
  <si>
    <t>kim nam-su</t>
    <phoneticPr fontId="1" type="noConversion"/>
  </si>
  <si>
    <t>인천</t>
    <phoneticPr fontId="1" type="noConversion"/>
  </si>
  <si>
    <t>황성봉</t>
  </si>
  <si>
    <t>Hwang Seong Bong</t>
  </si>
  <si>
    <t>수원</t>
    <phoneticPr fontId="1" type="noConversion"/>
  </si>
  <si>
    <t>김태훈</t>
  </si>
  <si>
    <t>Kim Taehoon</t>
  </si>
  <si>
    <t>청주</t>
    <phoneticPr fontId="1" type="noConversion"/>
  </si>
  <si>
    <t>제주</t>
    <phoneticPr fontId="1" type="noConversion"/>
  </si>
  <si>
    <t>심윤석</t>
    <phoneticPr fontId="1" type="noConversion"/>
  </si>
  <si>
    <t>Sim Yoon-Seok</t>
    <phoneticPr fontId="1" type="noConversion"/>
  </si>
  <si>
    <t>김포</t>
    <phoneticPr fontId="1" type="noConversion"/>
  </si>
  <si>
    <t>김영화</t>
  </si>
  <si>
    <t>Kim Young Hwa</t>
  </si>
  <si>
    <t>부산</t>
    <phoneticPr fontId="1" type="noConversion"/>
  </si>
  <si>
    <t>배상진</t>
  </si>
  <si>
    <t>Bae sang jin</t>
  </si>
  <si>
    <t>손영호</t>
  </si>
  <si>
    <t>이경훈</t>
  </si>
  <si>
    <t>Lee Kyoung Hun</t>
  </si>
  <si>
    <t>서울</t>
    <phoneticPr fontId="1" type="noConversion"/>
  </si>
  <si>
    <t>김정도</t>
  </si>
  <si>
    <t>KIM JEONGDO</t>
  </si>
  <si>
    <t>진주</t>
    <phoneticPr fontId="1" type="noConversion"/>
  </si>
  <si>
    <t>조규영</t>
  </si>
  <si>
    <t>문성현</t>
  </si>
  <si>
    <t>Moon seong-hyeon</t>
    <phoneticPr fontId="1" type="noConversion"/>
  </si>
  <si>
    <t>서동수</t>
  </si>
  <si>
    <t>김현진</t>
    <phoneticPr fontId="1" type="noConversion"/>
  </si>
  <si>
    <t>KIM HYUN-JIN</t>
    <phoneticPr fontId="1" type="noConversion"/>
  </si>
  <si>
    <t>여수</t>
    <phoneticPr fontId="1" type="noConversion"/>
  </si>
  <si>
    <t>이주민</t>
  </si>
  <si>
    <t>LEE JU-MIN</t>
    <phoneticPr fontId="1" type="noConversion"/>
  </si>
  <si>
    <t>김인태</t>
  </si>
  <si>
    <t>박인수</t>
    <phoneticPr fontId="1" type="noConversion"/>
  </si>
  <si>
    <t>PARK IN-SOO</t>
    <phoneticPr fontId="1" type="noConversion"/>
  </si>
  <si>
    <t>대구</t>
    <phoneticPr fontId="1" type="noConversion"/>
  </si>
  <si>
    <t>유경민</t>
  </si>
  <si>
    <t>Ryu Kyeongmin</t>
  </si>
  <si>
    <t>김민수</t>
  </si>
  <si>
    <t>KIM MIN SOO</t>
  </si>
  <si>
    <t>김회철</t>
  </si>
  <si>
    <t>KIM Hoe Cheol</t>
  </si>
  <si>
    <t>박정수</t>
    <phoneticPr fontId="1" type="noConversion"/>
  </si>
  <si>
    <t>PARK SUNG SOO</t>
    <phoneticPr fontId="1" type="noConversion"/>
  </si>
  <si>
    <t>이현진</t>
  </si>
  <si>
    <t>Lee Hyeon-Jin</t>
    <phoneticPr fontId="1" type="noConversion"/>
  </si>
  <si>
    <t>창원</t>
    <phoneticPr fontId="1" type="noConversion"/>
  </si>
  <si>
    <t>남왕우</t>
  </si>
  <si>
    <t>Nam Wang-Woo</t>
    <phoneticPr fontId="1" type="noConversion"/>
  </si>
  <si>
    <t>설동범</t>
  </si>
  <si>
    <t>SEOL DONG BEOM</t>
    <phoneticPr fontId="1" type="noConversion"/>
  </si>
  <si>
    <t>권오현</t>
    <phoneticPr fontId="1" type="noConversion"/>
  </si>
  <si>
    <t>Kwon o hyun</t>
    <phoneticPr fontId="1" type="noConversion"/>
  </si>
  <si>
    <t>고영규</t>
  </si>
  <si>
    <t>Ko,younggyu</t>
  </si>
  <si>
    <t>경산</t>
    <phoneticPr fontId="1" type="noConversion"/>
  </si>
  <si>
    <t>최병민</t>
  </si>
  <si>
    <t>CHOI BYEONGMIN</t>
  </si>
  <si>
    <t>박종훈</t>
  </si>
  <si>
    <t>Park Jong Hun</t>
  </si>
  <si>
    <t>함성제</t>
    <phoneticPr fontId="1" type="noConversion"/>
  </si>
  <si>
    <t>HAM SEONG-JE</t>
    <phoneticPr fontId="1" type="noConversion"/>
  </si>
  <si>
    <t>빈태욱</t>
  </si>
  <si>
    <t>BIHN TAEWOOK</t>
  </si>
  <si>
    <t>세종</t>
    <phoneticPr fontId="1" type="noConversion"/>
  </si>
  <si>
    <t>이규성</t>
  </si>
  <si>
    <t>Lee gyu-sung</t>
    <phoneticPr fontId="1" type="noConversion"/>
  </si>
  <si>
    <t>원주</t>
    <phoneticPr fontId="1" type="noConversion"/>
  </si>
  <si>
    <t>박경용</t>
    <phoneticPr fontId="1" type="noConversion"/>
  </si>
  <si>
    <t>PARK KYEONG-YONG</t>
    <phoneticPr fontId="1" type="noConversion"/>
  </si>
  <si>
    <t>거제</t>
    <phoneticPr fontId="1" type="noConversion"/>
  </si>
  <si>
    <t>손호철</t>
  </si>
  <si>
    <t>Son Ho-Cheol</t>
    <phoneticPr fontId="1" type="noConversion"/>
  </si>
  <si>
    <t>용인</t>
    <phoneticPr fontId="1" type="noConversion"/>
  </si>
  <si>
    <t>현민호</t>
  </si>
  <si>
    <t>HYUN MIN HO</t>
    <phoneticPr fontId="1" type="noConversion"/>
  </si>
  <si>
    <t>박홍훈</t>
    <phoneticPr fontId="1" type="noConversion"/>
  </si>
  <si>
    <t>PARK HONG-HOON</t>
    <phoneticPr fontId="1" type="noConversion"/>
  </si>
  <si>
    <t>유형열</t>
  </si>
  <si>
    <t>YOU HYOUNG RYOUL</t>
  </si>
  <si>
    <t>이용철</t>
  </si>
  <si>
    <t>LEE YONGCHOL</t>
  </si>
  <si>
    <t>안철현</t>
  </si>
  <si>
    <t>AN CHUL HYUN</t>
  </si>
  <si>
    <t>하성욱</t>
    <phoneticPr fontId="1" type="noConversion"/>
  </si>
  <si>
    <t>Ha Seoung Uk</t>
    <phoneticPr fontId="1" type="noConversion"/>
  </si>
  <si>
    <t>강상명</t>
  </si>
  <si>
    <t>kang sang myeong</t>
    <phoneticPr fontId="1" type="noConversion"/>
  </si>
  <si>
    <t>김세진</t>
  </si>
  <si>
    <t>sejin Kim</t>
    <phoneticPr fontId="1" type="noConversion"/>
  </si>
  <si>
    <t>제천</t>
    <phoneticPr fontId="1" type="noConversion"/>
  </si>
  <si>
    <t>고원기</t>
  </si>
  <si>
    <t>KO WON KI</t>
  </si>
  <si>
    <t>김원성</t>
  </si>
  <si>
    <t>KIM WON-SUNG</t>
    <phoneticPr fontId="1" type="noConversion"/>
  </si>
  <si>
    <t>시흥</t>
    <phoneticPr fontId="1" type="noConversion"/>
  </si>
  <si>
    <t>양원섭</t>
  </si>
  <si>
    <t>Yang wonseob</t>
  </si>
  <si>
    <t>안산</t>
    <phoneticPr fontId="1" type="noConversion"/>
  </si>
  <si>
    <t>강일남</t>
  </si>
  <si>
    <t>KANG IL NAM</t>
    <phoneticPr fontId="1" type="noConversion"/>
  </si>
  <si>
    <t>정민철</t>
  </si>
  <si>
    <t>Jeong MinCheol</t>
  </si>
  <si>
    <t>안효운</t>
    <phoneticPr fontId="1" type="noConversion"/>
  </si>
  <si>
    <t>AHN HYOWOON</t>
    <phoneticPr fontId="1" type="noConversion"/>
  </si>
  <si>
    <t>김창곤</t>
  </si>
  <si>
    <t>kim changgon</t>
  </si>
  <si>
    <t>박상준</t>
  </si>
  <si>
    <t>PARK SANG-JOON</t>
    <phoneticPr fontId="1" type="noConversion"/>
  </si>
  <si>
    <t>백열규</t>
  </si>
  <si>
    <t>BAEG YEOL GYU</t>
  </si>
  <si>
    <t>변영광</t>
  </si>
  <si>
    <t>Byun Young Kwang</t>
    <phoneticPr fontId="1" type="noConversion"/>
  </si>
  <si>
    <t>이상덕</t>
  </si>
  <si>
    <t>I SANG DEOK</t>
  </si>
  <si>
    <t>김현중</t>
    <phoneticPr fontId="1" type="noConversion"/>
  </si>
  <si>
    <t>Kim Hyunjoong</t>
  </si>
  <si>
    <t>박동인</t>
  </si>
  <si>
    <t>PARK DONGIN</t>
    <phoneticPr fontId="1" type="noConversion"/>
  </si>
  <si>
    <t>박상민</t>
  </si>
  <si>
    <t>PARK SANG MIN</t>
  </si>
  <si>
    <t>대전</t>
    <phoneticPr fontId="1" type="noConversion"/>
  </si>
  <si>
    <t>김영균</t>
  </si>
  <si>
    <t>KIM YEONG GYUN</t>
  </si>
  <si>
    <t>광명</t>
    <phoneticPr fontId="1" type="noConversion"/>
  </si>
  <si>
    <t>신현길</t>
  </si>
  <si>
    <t>Shin Hyun-Gill</t>
    <phoneticPr fontId="1" type="noConversion"/>
  </si>
  <si>
    <t>장준호</t>
    <phoneticPr fontId="1" type="noConversion"/>
  </si>
  <si>
    <t>CHANG JUN-HO</t>
    <phoneticPr fontId="1" type="noConversion"/>
  </si>
  <si>
    <t>하주완</t>
  </si>
  <si>
    <t>HA JU WAN</t>
    <phoneticPr fontId="1" type="noConversion"/>
  </si>
  <si>
    <t>괴산</t>
    <phoneticPr fontId="1" type="noConversion"/>
  </si>
  <si>
    <t>이성희</t>
  </si>
  <si>
    <t>LEE SEONG HEE</t>
  </si>
  <si>
    <t>이상규</t>
  </si>
  <si>
    <t>lee sang kyu</t>
  </si>
  <si>
    <t>우상욱</t>
  </si>
  <si>
    <t>WOO/SANG WOOK</t>
  </si>
  <si>
    <t>이정호</t>
  </si>
  <si>
    <t>LEE Jeong Ho</t>
  </si>
  <si>
    <t>정윤재</t>
  </si>
  <si>
    <t>JEONG YUN-JAE</t>
  </si>
  <si>
    <t>백승우</t>
  </si>
  <si>
    <t>BAEK SEONG WOO</t>
    <phoneticPr fontId="1" type="noConversion"/>
  </si>
  <si>
    <t>Cho Gyou-Young</t>
    <phoneticPr fontId="1" type="noConversion"/>
  </si>
  <si>
    <t>안성</t>
    <phoneticPr fontId="1" type="noConversion"/>
  </si>
  <si>
    <t>Son Yeoungho</t>
    <phoneticPr fontId="1" type="noConversion"/>
  </si>
  <si>
    <t>Seo dong-soo</t>
    <phoneticPr fontId="1" type="noConversion"/>
  </si>
  <si>
    <t>장용복</t>
  </si>
  <si>
    <t>JANG YONG BOK</t>
  </si>
  <si>
    <t>김양호</t>
  </si>
  <si>
    <t>Kim yang ho</t>
  </si>
  <si>
    <t>천창업</t>
  </si>
  <si>
    <t>Cheon changeob</t>
  </si>
  <si>
    <t>안광근</t>
  </si>
  <si>
    <t>AN KWANG-GEUN</t>
    <phoneticPr fontId="1" type="noConversion"/>
  </si>
  <si>
    <t>SMITH TEGAN</t>
  </si>
  <si>
    <t>김상범</t>
    <phoneticPr fontId="1" type="noConversion"/>
  </si>
  <si>
    <t>KIM SANG-BEOM</t>
    <phoneticPr fontId="1" type="noConversion"/>
  </si>
  <si>
    <t>문창호</t>
  </si>
  <si>
    <t>MOONCHANGHO</t>
  </si>
  <si>
    <t>이진무</t>
  </si>
  <si>
    <t>I JIN MU</t>
  </si>
  <si>
    <t>박원기</t>
  </si>
  <si>
    <t>Park/YounGi</t>
    <phoneticPr fontId="1" type="noConversion"/>
  </si>
  <si>
    <t>고양</t>
    <phoneticPr fontId="1" type="noConversion"/>
  </si>
  <si>
    <t>강철호</t>
  </si>
  <si>
    <t>KANG CHUL HO</t>
  </si>
  <si>
    <t>klm ln tae</t>
  </si>
  <si>
    <t>황현섭</t>
  </si>
  <si>
    <t>HWANG HYEON SEOP</t>
  </si>
  <si>
    <t>임탁규</t>
    <phoneticPr fontId="1" type="noConversion"/>
  </si>
  <si>
    <t>LIM TAK-GYU</t>
    <phoneticPr fontId="1" type="noConversion"/>
  </si>
  <si>
    <t>윤복동</t>
  </si>
  <si>
    <t>BOKDONG YUN</t>
    <phoneticPr fontId="1" type="noConversion"/>
  </si>
  <si>
    <t>배인규</t>
  </si>
  <si>
    <t>IN-GYU BAE</t>
  </si>
  <si>
    <t>양성문</t>
  </si>
  <si>
    <t>YANG SUNG MOON</t>
  </si>
  <si>
    <t>박동식</t>
  </si>
  <si>
    <t>PARK DONG SIK</t>
  </si>
  <si>
    <t>권영준</t>
  </si>
  <si>
    <t>kwon young jun</t>
    <phoneticPr fontId="1" type="noConversion"/>
  </si>
  <si>
    <t>이현호</t>
  </si>
  <si>
    <t>Lee hyeonho</t>
    <phoneticPr fontId="1" type="noConversion"/>
  </si>
  <si>
    <t>박윤기</t>
  </si>
  <si>
    <t>Park Youn-Gi</t>
    <phoneticPr fontId="1" type="noConversion"/>
  </si>
  <si>
    <t>김종수</t>
    <phoneticPr fontId="1" type="noConversion"/>
  </si>
  <si>
    <t>KIM JONG-SU</t>
    <phoneticPr fontId="1" type="noConversion"/>
  </si>
  <si>
    <t>태양의철인</t>
    <phoneticPr fontId="1" type="noConversion"/>
  </si>
  <si>
    <t>성  별</t>
    <phoneticPr fontId="1" type="noConversion"/>
  </si>
  <si>
    <t>M</t>
    <phoneticPr fontId="1" type="noConversion"/>
  </si>
  <si>
    <t>아산</t>
    <phoneticPr fontId="1" type="noConversion"/>
  </si>
  <si>
    <t>임정식</t>
    <phoneticPr fontId="1" type="noConversion"/>
  </si>
  <si>
    <t>강계수</t>
  </si>
  <si>
    <t>Kang Kye Soo</t>
  </si>
  <si>
    <t>김영식</t>
  </si>
  <si>
    <t>KIM YOUNG SIK</t>
  </si>
  <si>
    <t>F</t>
    <phoneticPr fontId="1" type="noConversion"/>
  </si>
  <si>
    <t>이경희</t>
  </si>
  <si>
    <t>Lee kyoung hee</t>
  </si>
  <si>
    <t xml:space="preserve">최호현 </t>
    <phoneticPr fontId="1" type="noConversion"/>
  </si>
  <si>
    <t>HO HYEON CHOI</t>
    <phoneticPr fontId="1" type="noConversion"/>
  </si>
  <si>
    <t>송영국</t>
  </si>
  <si>
    <t>SONG YOUNG GEUK</t>
  </si>
  <si>
    <t>박준혁</t>
    <phoneticPr fontId="1" type="noConversion"/>
  </si>
  <si>
    <t>PARK JUN HYEOK</t>
    <phoneticPr fontId="1" type="noConversion"/>
  </si>
  <si>
    <t>천영규</t>
  </si>
  <si>
    <t>CHEON YEONG GYU</t>
  </si>
  <si>
    <t>안산</t>
    <phoneticPr fontId="1" type="noConversion"/>
  </si>
  <si>
    <t>유  창</t>
    <phoneticPr fontId="1" type="noConversion"/>
  </si>
  <si>
    <t>M</t>
    <phoneticPr fontId="1" type="noConversion"/>
  </si>
  <si>
    <t>YU CHANG</t>
  </si>
  <si>
    <t>이경원</t>
    <phoneticPr fontId="1" type="noConversion"/>
  </si>
  <si>
    <t>F</t>
    <phoneticPr fontId="1" type="noConversion"/>
  </si>
  <si>
    <t>Lee kyoungwon</t>
  </si>
</sst>
</file>

<file path=xl/styles.xml><?xml version="1.0" encoding="utf-8"?>
<styleSheet xmlns="http://schemas.openxmlformats.org/spreadsheetml/2006/main">
  <numFmts count="1">
    <numFmt numFmtId="176" formatCode="h:mm:ss;@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indent="1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A82" sqref="A82:A96"/>
    </sheetView>
  </sheetViews>
  <sheetFormatPr defaultRowHeight="16.5"/>
  <cols>
    <col min="1" max="2" width="8.375" style="1" customWidth="1"/>
    <col min="3" max="3" width="12.25" style="2" customWidth="1"/>
    <col min="4" max="4" width="7.125" style="2" customWidth="1"/>
    <col min="5" max="5" width="21.375" style="6" customWidth="1"/>
    <col min="6" max="6" width="9" style="2"/>
    <col min="7" max="7" width="2.5" style="2" customWidth="1"/>
    <col min="8" max="11" width="9" style="2"/>
    <col min="12" max="18" width="9" style="1"/>
    <col min="19" max="19" width="4.375" style="1" customWidth="1"/>
    <col min="20" max="20" width="9" style="1"/>
    <col min="21" max="21" width="12.125" style="1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209</v>
      </c>
      <c r="E1" s="6" t="s">
        <v>3</v>
      </c>
      <c r="F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T1" s="1" t="s">
        <v>16</v>
      </c>
    </row>
    <row r="2" spans="1:21">
      <c r="A2" s="1">
        <v>1</v>
      </c>
      <c r="B2" s="2">
        <v>40</v>
      </c>
      <c r="C2" s="2" t="s">
        <v>17</v>
      </c>
      <c r="D2" s="2" t="s">
        <v>210</v>
      </c>
      <c r="E2" s="6" t="s">
        <v>18</v>
      </c>
      <c r="F2" s="2" t="s">
        <v>19</v>
      </c>
      <c r="H2" s="3">
        <v>0.22361111111111101</v>
      </c>
      <c r="I2" s="3">
        <v>0.27886574074074072</v>
      </c>
      <c r="J2" s="3">
        <f t="shared" ref="J2:J33" si="0">I2-H2</f>
        <v>5.5254629629629709E-2</v>
      </c>
      <c r="K2" s="3">
        <f t="shared" ref="K2:K33" si="1">L2-I2</f>
        <v>3.0324074074074003E-3</v>
      </c>
      <c r="L2" s="4">
        <v>0.28189814814814812</v>
      </c>
      <c r="M2" s="4">
        <v>0.49560185185185185</v>
      </c>
      <c r="N2" s="4">
        <f t="shared" ref="N2:N33" si="2">M2-L2</f>
        <v>0.21370370370370373</v>
      </c>
      <c r="O2" s="4">
        <f t="shared" ref="O2:O33" si="3">P2-M2</f>
        <v>2.962962962962945E-3</v>
      </c>
      <c r="P2" s="4">
        <v>0.49856481481481479</v>
      </c>
      <c r="Q2" s="4">
        <v>0.66229166666666661</v>
      </c>
      <c r="R2" s="4">
        <f t="shared" ref="R2:R33" si="4">Q2-P2</f>
        <v>0.16372685185185182</v>
      </c>
      <c r="S2" s="4"/>
      <c r="T2" s="4">
        <f t="shared" ref="T2:T33" si="5">J2+K2+N2+O2+R2</f>
        <v>0.43868055555555557</v>
      </c>
      <c r="U2" s="1" t="s">
        <v>208</v>
      </c>
    </row>
    <row r="3" spans="1:21">
      <c r="A3" s="1">
        <v>2</v>
      </c>
      <c r="B3" s="2">
        <v>103</v>
      </c>
      <c r="C3" s="2" t="s">
        <v>20</v>
      </c>
      <c r="D3" s="2" t="s">
        <v>210</v>
      </c>
      <c r="E3" s="6" t="s">
        <v>21</v>
      </c>
      <c r="F3" s="2" t="s">
        <v>22</v>
      </c>
      <c r="H3" s="3">
        <v>0.22361111111111101</v>
      </c>
      <c r="I3" s="3">
        <v>0.27938657407407408</v>
      </c>
      <c r="J3" s="3">
        <f t="shared" si="0"/>
        <v>5.5775462962963068E-2</v>
      </c>
      <c r="K3" s="3">
        <f t="shared" si="1"/>
        <v>6.2847222222222054E-3</v>
      </c>
      <c r="L3" s="4">
        <v>0.28567129629629628</v>
      </c>
      <c r="M3" s="4">
        <v>0.54995370370370367</v>
      </c>
      <c r="N3" s="4">
        <f t="shared" si="2"/>
        <v>0.26428240740740738</v>
      </c>
      <c r="O3" s="4">
        <f t="shared" si="3"/>
        <v>2.4537037037036802E-3</v>
      </c>
      <c r="P3" s="4">
        <v>0.55240740740740735</v>
      </c>
      <c r="Q3" s="4">
        <v>0.71800925925925929</v>
      </c>
      <c r="R3" s="4">
        <f t="shared" si="4"/>
        <v>0.16560185185185194</v>
      </c>
      <c r="S3" s="4"/>
      <c r="T3" s="4">
        <f t="shared" si="5"/>
        <v>0.49439814814814831</v>
      </c>
      <c r="U3" s="1" t="s">
        <v>208</v>
      </c>
    </row>
    <row r="4" spans="1:21">
      <c r="A4" s="1">
        <v>3</v>
      </c>
      <c r="B4" s="2">
        <v>111</v>
      </c>
      <c r="C4" s="2" t="s">
        <v>23</v>
      </c>
      <c r="D4" s="2" t="s">
        <v>210</v>
      </c>
      <c r="E4" s="6" t="s">
        <v>24</v>
      </c>
      <c r="F4" s="2" t="s">
        <v>25</v>
      </c>
      <c r="H4" s="3">
        <v>0.22361111111111101</v>
      </c>
      <c r="I4" s="3">
        <v>0.28964120370370372</v>
      </c>
      <c r="J4" s="3">
        <f t="shared" si="0"/>
        <v>6.603009259259271E-2</v>
      </c>
      <c r="K4" s="3">
        <f t="shared" si="1"/>
        <v>4.2361111111111072E-3</v>
      </c>
      <c r="L4" s="4">
        <v>0.29387731481481483</v>
      </c>
      <c r="M4" s="4">
        <v>0.56423611111111105</v>
      </c>
      <c r="N4" s="4">
        <f t="shared" si="2"/>
        <v>0.27035879629629622</v>
      </c>
      <c r="O4" s="4">
        <f t="shared" si="3"/>
        <v>2.17592592592597E-3</v>
      </c>
      <c r="P4" s="4">
        <v>0.56641203703703702</v>
      </c>
      <c r="Q4" s="4">
        <v>0.7181481481481482</v>
      </c>
      <c r="R4" s="4">
        <f t="shared" si="4"/>
        <v>0.15173611111111118</v>
      </c>
      <c r="S4" s="4"/>
      <c r="T4" s="4">
        <f t="shared" si="5"/>
        <v>0.49453703703703722</v>
      </c>
      <c r="U4" s="1" t="s">
        <v>208</v>
      </c>
    </row>
    <row r="5" spans="1:21">
      <c r="A5" s="1">
        <v>4</v>
      </c>
      <c r="B5" s="2">
        <v>47</v>
      </c>
      <c r="C5" s="2" t="s">
        <v>226</v>
      </c>
      <c r="D5" s="2" t="s">
        <v>210</v>
      </c>
      <c r="E5" s="6" t="s">
        <v>227</v>
      </c>
      <c r="F5" s="2" t="s">
        <v>228</v>
      </c>
      <c r="H5" s="3">
        <v>0.22361111111111101</v>
      </c>
      <c r="I5" s="3">
        <v>0.27789351851851851</v>
      </c>
      <c r="J5" s="3">
        <f t="shared" si="0"/>
        <v>5.4282407407407501E-2</v>
      </c>
      <c r="K5" s="3">
        <f t="shared" si="1"/>
        <v>3.0208333333333059E-3</v>
      </c>
      <c r="L5" s="4">
        <v>0.28091435185185182</v>
      </c>
      <c r="M5" s="4">
        <v>0.55687500000000001</v>
      </c>
      <c r="N5" s="4">
        <f t="shared" si="2"/>
        <v>0.27596064814814819</v>
      </c>
      <c r="O5" s="4">
        <f t="shared" si="3"/>
        <v>2.766203703703729E-3</v>
      </c>
      <c r="P5" s="4">
        <v>0.55964120370370374</v>
      </c>
      <c r="Q5" s="4">
        <v>0.72031250000000002</v>
      </c>
      <c r="R5" s="4">
        <f t="shared" si="4"/>
        <v>0.16067129629629628</v>
      </c>
      <c r="S5" s="4"/>
      <c r="T5" s="4">
        <f t="shared" si="5"/>
        <v>0.49670138888888904</v>
      </c>
      <c r="U5" s="1" t="s">
        <v>208</v>
      </c>
    </row>
    <row r="6" spans="1:21">
      <c r="A6" s="1">
        <v>5</v>
      </c>
      <c r="B6" s="2">
        <v>17</v>
      </c>
      <c r="C6" s="2" t="s">
        <v>27</v>
      </c>
      <c r="D6" s="2" t="s">
        <v>210</v>
      </c>
      <c r="E6" s="6" t="s">
        <v>28</v>
      </c>
      <c r="F6" s="2" t="s">
        <v>29</v>
      </c>
      <c r="H6" s="3">
        <v>0.22361111111111101</v>
      </c>
      <c r="I6" s="3">
        <v>0.28385416666666669</v>
      </c>
      <c r="J6" s="3">
        <f t="shared" si="0"/>
        <v>6.0243055555555675E-2</v>
      </c>
      <c r="K6" s="3">
        <f t="shared" si="1"/>
        <v>2.3032407407407307E-3</v>
      </c>
      <c r="L6" s="4">
        <v>0.28615740740740742</v>
      </c>
      <c r="M6" s="4">
        <v>0.55100694444444442</v>
      </c>
      <c r="N6" s="4">
        <f t="shared" si="2"/>
        <v>0.26484953703703701</v>
      </c>
      <c r="O6" s="4">
        <f t="shared" si="3"/>
        <v>1.4930555555555669E-3</v>
      </c>
      <c r="P6" s="4">
        <v>0.55249999999999999</v>
      </c>
      <c r="Q6" s="4">
        <v>0.72112268518518519</v>
      </c>
      <c r="R6" s="4">
        <f t="shared" si="4"/>
        <v>0.16862268518518519</v>
      </c>
      <c r="S6" s="4"/>
      <c r="T6" s="4">
        <f t="shared" si="5"/>
        <v>0.4975115740740742</v>
      </c>
      <c r="U6" s="1" t="s">
        <v>208</v>
      </c>
    </row>
    <row r="7" spans="1:21">
      <c r="A7" s="1">
        <v>6</v>
      </c>
      <c r="B7" s="2">
        <v>65</v>
      </c>
      <c r="C7" s="2" t="s">
        <v>30</v>
      </c>
      <c r="D7" s="2" t="s">
        <v>210</v>
      </c>
      <c r="E7" s="6" t="s">
        <v>31</v>
      </c>
      <c r="F7" s="2" t="s">
        <v>32</v>
      </c>
      <c r="H7" s="3">
        <v>0.22361111111111101</v>
      </c>
      <c r="I7" s="3">
        <v>0.28520833333333334</v>
      </c>
      <c r="J7" s="3">
        <f t="shared" si="0"/>
        <v>6.1597222222222331E-2</v>
      </c>
      <c r="K7" s="3">
        <f t="shared" si="1"/>
        <v>2.569444444444402E-3</v>
      </c>
      <c r="L7" s="4">
        <v>0.28777777777777774</v>
      </c>
      <c r="M7" s="4">
        <v>0.55168981481481483</v>
      </c>
      <c r="N7" s="4">
        <f t="shared" si="2"/>
        <v>0.26391203703703708</v>
      </c>
      <c r="O7" s="4">
        <f t="shared" si="3"/>
        <v>2.2800925925925419E-3</v>
      </c>
      <c r="P7" s="4">
        <v>0.55396990740740737</v>
      </c>
      <c r="Q7" s="4">
        <v>0.7246527777777777</v>
      </c>
      <c r="R7" s="4">
        <f t="shared" si="4"/>
        <v>0.17068287037037033</v>
      </c>
      <c r="S7" s="4"/>
      <c r="T7" s="4">
        <f t="shared" si="5"/>
        <v>0.50104166666666672</v>
      </c>
      <c r="U7" s="1" t="s">
        <v>208</v>
      </c>
    </row>
    <row r="8" spans="1:21">
      <c r="A8" s="1">
        <v>7</v>
      </c>
      <c r="B8" s="2">
        <v>75</v>
      </c>
      <c r="C8" s="2" t="s">
        <v>33</v>
      </c>
      <c r="D8" s="2" t="s">
        <v>210</v>
      </c>
      <c r="E8" s="6" t="s">
        <v>34</v>
      </c>
      <c r="F8" s="2" t="s">
        <v>32</v>
      </c>
      <c r="H8" s="3">
        <v>0.22361111111111101</v>
      </c>
      <c r="I8" s="3">
        <v>0.29100694444444447</v>
      </c>
      <c r="J8" s="3">
        <f t="shared" si="0"/>
        <v>6.739583333333346E-2</v>
      </c>
      <c r="K8" s="3">
        <f t="shared" si="1"/>
        <v>3.1944444444443887E-3</v>
      </c>
      <c r="L8" s="4">
        <v>0.29420138888888886</v>
      </c>
      <c r="M8" s="4"/>
      <c r="N8" s="4">
        <f t="shared" si="2"/>
        <v>-0.29420138888888886</v>
      </c>
      <c r="O8" s="4">
        <f t="shared" si="3"/>
        <v>0.61025462962962962</v>
      </c>
      <c r="P8" s="4">
        <v>0.61025462962962962</v>
      </c>
      <c r="Q8" s="4">
        <v>0.73283564814814817</v>
      </c>
      <c r="R8" s="4">
        <f t="shared" si="4"/>
        <v>0.12258101851851855</v>
      </c>
      <c r="S8" s="4"/>
      <c r="T8" s="4">
        <f t="shared" si="5"/>
        <v>0.50922453703703718</v>
      </c>
      <c r="U8" s="1" t="s">
        <v>208</v>
      </c>
    </row>
    <row r="9" spans="1:21">
      <c r="A9" s="1">
        <v>8</v>
      </c>
      <c r="B9" s="2">
        <v>119</v>
      </c>
      <c r="C9" s="2" t="s">
        <v>36</v>
      </c>
      <c r="D9" s="2" t="s">
        <v>210</v>
      </c>
      <c r="E9" s="6" t="s">
        <v>37</v>
      </c>
      <c r="F9" s="2" t="s">
        <v>38</v>
      </c>
      <c r="H9" s="3">
        <v>0.22361111111111101</v>
      </c>
      <c r="I9" s="3">
        <v>0.29399305555555555</v>
      </c>
      <c r="J9" s="3">
        <f t="shared" si="0"/>
        <v>7.0381944444444539E-2</v>
      </c>
      <c r="K9" s="3">
        <f t="shared" si="1"/>
        <v>3.6111111111111205E-3</v>
      </c>
      <c r="L9" s="4">
        <v>0.29760416666666667</v>
      </c>
      <c r="M9" s="4">
        <v>0.56546296296296295</v>
      </c>
      <c r="N9" s="4">
        <f t="shared" si="2"/>
        <v>0.26785879629629628</v>
      </c>
      <c r="O9" s="4">
        <f t="shared" si="3"/>
        <v>1.481481481481528E-3</v>
      </c>
      <c r="P9" s="4">
        <v>0.56694444444444447</v>
      </c>
      <c r="Q9" s="4">
        <v>0.73842592592592593</v>
      </c>
      <c r="R9" s="4">
        <f t="shared" si="4"/>
        <v>0.17148148148148146</v>
      </c>
      <c r="S9" s="4"/>
      <c r="T9" s="4">
        <f t="shared" si="5"/>
        <v>0.51481481481481495</v>
      </c>
      <c r="U9" s="1" t="s">
        <v>208</v>
      </c>
    </row>
    <row r="10" spans="1:21">
      <c r="A10" s="1">
        <v>9</v>
      </c>
      <c r="B10" s="2">
        <v>124</v>
      </c>
      <c r="C10" s="2" t="s">
        <v>39</v>
      </c>
      <c r="D10" s="2" t="s">
        <v>210</v>
      </c>
      <c r="E10" s="6" t="s">
        <v>40</v>
      </c>
      <c r="F10" s="2" t="s">
        <v>41</v>
      </c>
      <c r="H10" s="3">
        <v>0.22361111111111101</v>
      </c>
      <c r="I10" s="3">
        <v>0.2907986111111111</v>
      </c>
      <c r="J10" s="3">
        <f t="shared" si="0"/>
        <v>6.7187500000000094E-2</v>
      </c>
      <c r="K10" s="3">
        <f t="shared" si="1"/>
        <v>-8.7152777777778079E-3</v>
      </c>
      <c r="L10" s="4">
        <v>0.2820833333333333</v>
      </c>
      <c r="M10" s="4">
        <v>0.54182870370370373</v>
      </c>
      <c r="N10" s="4">
        <f t="shared" si="2"/>
        <v>0.25974537037037043</v>
      </c>
      <c r="O10" s="4">
        <f t="shared" si="3"/>
        <v>1.1574074074072183E-4</v>
      </c>
      <c r="P10" s="4">
        <v>0.54194444444444445</v>
      </c>
      <c r="Q10" s="4">
        <v>0.74848379629629624</v>
      </c>
      <c r="R10" s="4">
        <f t="shared" si="4"/>
        <v>0.20653935185185179</v>
      </c>
      <c r="S10" s="4"/>
      <c r="T10" s="4">
        <f t="shared" si="5"/>
        <v>0.52487268518518526</v>
      </c>
      <c r="U10" s="1" t="s">
        <v>208</v>
      </c>
    </row>
    <row r="11" spans="1:21">
      <c r="A11" s="1">
        <v>10</v>
      </c>
      <c r="B11" s="2">
        <v>45</v>
      </c>
      <c r="C11" s="2" t="s">
        <v>43</v>
      </c>
      <c r="D11" s="2" t="s">
        <v>210</v>
      </c>
      <c r="E11" s="6" t="s">
        <v>44</v>
      </c>
      <c r="F11" s="2" t="s">
        <v>32</v>
      </c>
      <c r="H11" s="3">
        <v>0.22361111111111101</v>
      </c>
      <c r="I11" s="3">
        <v>0.28400462962962963</v>
      </c>
      <c r="J11" s="3">
        <f t="shared" si="0"/>
        <v>6.0393518518518624E-2</v>
      </c>
      <c r="K11" s="3">
        <f t="shared" si="1"/>
        <v>3.1249999999999889E-3</v>
      </c>
      <c r="L11" s="4">
        <v>0.28712962962962962</v>
      </c>
      <c r="M11" s="4">
        <v>0.55550925925925931</v>
      </c>
      <c r="N11" s="4">
        <f t="shared" si="2"/>
        <v>0.26837962962962969</v>
      </c>
      <c r="O11" s="4">
        <f t="shared" si="3"/>
        <v>1.5277777777777946E-3</v>
      </c>
      <c r="P11" s="4">
        <v>0.55703703703703711</v>
      </c>
      <c r="Q11" s="4">
        <v>0.75121527777777775</v>
      </c>
      <c r="R11" s="4">
        <f t="shared" si="4"/>
        <v>0.19417824074074064</v>
      </c>
      <c r="S11" s="4"/>
      <c r="T11" s="4">
        <f t="shared" si="5"/>
        <v>0.52760416666666676</v>
      </c>
      <c r="U11" s="1" t="s">
        <v>208</v>
      </c>
    </row>
    <row r="12" spans="1:21">
      <c r="A12" s="1">
        <v>11</v>
      </c>
      <c r="B12" s="2">
        <v>70</v>
      </c>
      <c r="C12" s="2" t="s">
        <v>46</v>
      </c>
      <c r="D12" s="2" t="s">
        <v>210</v>
      </c>
      <c r="E12" s="6" t="s">
        <v>47</v>
      </c>
      <c r="F12" s="2" t="s">
        <v>48</v>
      </c>
      <c r="H12" s="3">
        <v>0.22361111111111101</v>
      </c>
      <c r="I12" s="3">
        <v>0.27946759259259263</v>
      </c>
      <c r="J12" s="3">
        <f t="shared" si="0"/>
        <v>5.5856481481481618E-2</v>
      </c>
      <c r="K12" s="3">
        <f t="shared" si="1"/>
        <v>3.5879629629629317E-3</v>
      </c>
      <c r="L12" s="4">
        <v>0.28305555555555556</v>
      </c>
      <c r="M12" s="4">
        <v>0.54561342592592588</v>
      </c>
      <c r="N12" s="4">
        <f t="shared" si="2"/>
        <v>0.26255787037037032</v>
      </c>
      <c r="O12" s="4">
        <f t="shared" si="3"/>
        <v>2.4652777777778301E-3</v>
      </c>
      <c r="P12" s="4">
        <v>0.54807870370370371</v>
      </c>
      <c r="Q12" s="4">
        <v>0.75186342592592592</v>
      </c>
      <c r="R12" s="4">
        <f t="shared" si="4"/>
        <v>0.20378472222222221</v>
      </c>
      <c r="S12" s="4"/>
      <c r="T12" s="4">
        <f t="shared" si="5"/>
        <v>0.52825231481481494</v>
      </c>
      <c r="U12" s="1" t="s">
        <v>208</v>
      </c>
    </row>
    <row r="13" spans="1:21">
      <c r="A13" s="1">
        <v>12</v>
      </c>
      <c r="B13" s="2">
        <v>44</v>
      </c>
      <c r="C13" s="2" t="s">
        <v>49</v>
      </c>
      <c r="D13" s="2" t="s">
        <v>210</v>
      </c>
      <c r="E13" s="6" t="s">
        <v>50</v>
      </c>
      <c r="F13" s="2" t="s">
        <v>26</v>
      </c>
      <c r="H13" s="3">
        <v>0.22361111111111101</v>
      </c>
      <c r="I13" s="3">
        <v>0.29037037037037039</v>
      </c>
      <c r="J13" s="3">
        <f t="shared" si="0"/>
        <v>6.6759259259259379E-2</v>
      </c>
      <c r="K13" s="3">
        <f t="shared" si="1"/>
        <v>3.6921296296296147E-3</v>
      </c>
      <c r="L13" s="4">
        <v>0.2940625</v>
      </c>
      <c r="M13" s="4">
        <v>0.57406250000000003</v>
      </c>
      <c r="N13" s="4">
        <f t="shared" si="2"/>
        <v>0.28000000000000003</v>
      </c>
      <c r="O13" s="4">
        <f t="shared" si="3"/>
        <v>2.8472222222222232E-3</v>
      </c>
      <c r="P13" s="4">
        <v>0.57690972222222225</v>
      </c>
      <c r="Q13" s="4">
        <v>0.75302083333333336</v>
      </c>
      <c r="R13" s="4">
        <f t="shared" si="4"/>
        <v>0.17611111111111111</v>
      </c>
      <c r="S13" s="4"/>
      <c r="T13" s="4">
        <f t="shared" si="5"/>
        <v>0.52940972222222238</v>
      </c>
      <c r="U13" s="1" t="s">
        <v>208</v>
      </c>
    </row>
    <row r="14" spans="1:21">
      <c r="A14" s="1">
        <v>13</v>
      </c>
      <c r="B14" s="2">
        <v>137</v>
      </c>
      <c r="C14" s="2" t="s">
        <v>52</v>
      </c>
      <c r="D14" s="2" t="s">
        <v>210</v>
      </c>
      <c r="E14" s="6" t="s">
        <v>53</v>
      </c>
      <c r="F14" s="2" t="s">
        <v>54</v>
      </c>
      <c r="H14" s="3">
        <v>0.22361111111111101</v>
      </c>
      <c r="I14" s="3">
        <v>0.28921296296296295</v>
      </c>
      <c r="J14" s="3">
        <f t="shared" si="0"/>
        <v>6.5601851851851939E-2</v>
      </c>
      <c r="K14" s="3">
        <f t="shared" si="1"/>
        <v>6.2037037037037113E-3</v>
      </c>
      <c r="L14" s="4">
        <v>0.29541666666666666</v>
      </c>
      <c r="M14" s="4">
        <v>0.57594907407407414</v>
      </c>
      <c r="N14" s="4">
        <f t="shared" si="2"/>
        <v>0.28053240740740748</v>
      </c>
      <c r="O14" s="4">
        <f t="shared" si="3"/>
        <v>3.7615740740739589E-3</v>
      </c>
      <c r="P14" s="4">
        <v>0.5797106481481481</v>
      </c>
      <c r="Q14" s="4">
        <v>0.75550925925925927</v>
      </c>
      <c r="R14" s="4">
        <f t="shared" si="4"/>
        <v>0.17579861111111117</v>
      </c>
      <c r="S14" s="4"/>
      <c r="T14" s="4">
        <f t="shared" si="5"/>
        <v>0.53189814814814829</v>
      </c>
      <c r="U14" s="1" t="s">
        <v>208</v>
      </c>
    </row>
    <row r="15" spans="1:21">
      <c r="A15" s="1">
        <v>14</v>
      </c>
      <c r="B15" s="2">
        <v>63</v>
      </c>
      <c r="C15" s="2" t="s">
        <v>55</v>
      </c>
      <c r="D15" s="2" t="s">
        <v>210</v>
      </c>
      <c r="E15" s="6" t="s">
        <v>56</v>
      </c>
      <c r="F15" s="2" t="s">
        <v>26</v>
      </c>
      <c r="H15" s="3">
        <v>0.22361111111111101</v>
      </c>
      <c r="I15" s="3">
        <v>0.29545138888888889</v>
      </c>
      <c r="J15" s="3">
        <f t="shared" si="0"/>
        <v>7.1840277777777878E-2</v>
      </c>
      <c r="K15" s="3">
        <f t="shared" si="1"/>
        <v>3.4837962962963043E-3</v>
      </c>
      <c r="L15" s="4">
        <v>0.29893518518518519</v>
      </c>
      <c r="M15" s="4">
        <v>0.56615740740740739</v>
      </c>
      <c r="N15" s="4">
        <f t="shared" si="2"/>
        <v>0.26722222222222219</v>
      </c>
      <c r="O15" s="4">
        <f t="shared" si="3"/>
        <v>3.0092592592593226E-3</v>
      </c>
      <c r="P15" s="4">
        <v>0.56916666666666671</v>
      </c>
      <c r="Q15" s="4">
        <v>0.76216435185185183</v>
      </c>
      <c r="R15" s="4">
        <f t="shared" si="4"/>
        <v>0.19299768518518512</v>
      </c>
      <c r="S15" s="4"/>
      <c r="T15" s="4">
        <f t="shared" si="5"/>
        <v>0.53855324074074085</v>
      </c>
      <c r="U15" s="1" t="s">
        <v>208</v>
      </c>
    </row>
    <row r="16" spans="1:21">
      <c r="A16" s="1">
        <v>15</v>
      </c>
      <c r="B16" s="2">
        <v>56</v>
      </c>
      <c r="C16" s="2" t="s">
        <v>57</v>
      </c>
      <c r="D16" s="2" t="s">
        <v>210</v>
      </c>
      <c r="E16" s="6" t="s">
        <v>58</v>
      </c>
      <c r="F16" s="2" t="s">
        <v>41</v>
      </c>
      <c r="H16" s="3">
        <v>0.22361111111111101</v>
      </c>
      <c r="I16" s="3">
        <v>0.29206018518518517</v>
      </c>
      <c r="J16" s="3">
        <f t="shared" si="0"/>
        <v>6.8449074074074162E-2</v>
      </c>
      <c r="K16" s="3">
        <f t="shared" si="1"/>
        <v>6.0648148148148562E-3</v>
      </c>
      <c r="L16" s="4">
        <v>0.29812500000000003</v>
      </c>
      <c r="M16" s="4">
        <v>0.56873842592592594</v>
      </c>
      <c r="N16" s="4">
        <f t="shared" si="2"/>
        <v>0.27061342592592591</v>
      </c>
      <c r="O16" s="4">
        <f t="shared" si="3"/>
        <v>5.8564814814814348E-3</v>
      </c>
      <c r="P16" s="4">
        <v>0.57459490740740737</v>
      </c>
      <c r="Q16" s="4">
        <v>0.76348379629629637</v>
      </c>
      <c r="R16" s="4">
        <f t="shared" si="4"/>
        <v>0.18888888888888899</v>
      </c>
      <c r="S16" s="4"/>
      <c r="T16" s="4">
        <f t="shared" si="5"/>
        <v>0.53987268518518539</v>
      </c>
      <c r="U16" s="1" t="s">
        <v>208</v>
      </c>
    </row>
    <row r="17" spans="1:21">
      <c r="A17" s="1">
        <v>16</v>
      </c>
      <c r="B17" s="2">
        <v>51</v>
      </c>
      <c r="C17" s="2" t="s">
        <v>59</v>
      </c>
      <c r="D17" s="2" t="s">
        <v>210</v>
      </c>
      <c r="E17" s="6" t="s">
        <v>60</v>
      </c>
      <c r="F17" s="2" t="s">
        <v>38</v>
      </c>
      <c r="H17" s="3">
        <v>0.22361111111111101</v>
      </c>
      <c r="I17" s="3">
        <v>0.29108796296296297</v>
      </c>
      <c r="J17" s="3">
        <f t="shared" si="0"/>
        <v>6.7476851851851954E-2</v>
      </c>
      <c r="K17" s="3">
        <f t="shared" si="1"/>
        <v>1.0439814814814818E-2</v>
      </c>
      <c r="L17" s="4">
        <v>0.30152777777777778</v>
      </c>
      <c r="M17" s="4">
        <v>0.58203703703703702</v>
      </c>
      <c r="N17" s="4">
        <f t="shared" si="2"/>
        <v>0.28050925925925924</v>
      </c>
      <c r="O17" s="4">
        <f t="shared" si="3"/>
        <v>9.2708333333333393E-3</v>
      </c>
      <c r="P17" s="4">
        <v>0.59130787037037036</v>
      </c>
      <c r="Q17" s="4">
        <v>0.77140046296296294</v>
      </c>
      <c r="R17" s="4">
        <f t="shared" si="4"/>
        <v>0.18009259259259258</v>
      </c>
      <c r="S17" s="4"/>
      <c r="T17" s="4">
        <f t="shared" si="5"/>
        <v>0.54778935185185196</v>
      </c>
      <c r="U17" s="1" t="s">
        <v>208</v>
      </c>
    </row>
    <row r="18" spans="1:21">
      <c r="A18" s="1">
        <v>17</v>
      </c>
      <c r="B18" s="2">
        <v>95</v>
      </c>
      <c r="C18" s="2" t="s">
        <v>61</v>
      </c>
      <c r="D18" s="2" t="s">
        <v>210</v>
      </c>
      <c r="E18" s="6" t="s">
        <v>62</v>
      </c>
      <c r="F18" s="2" t="s">
        <v>19</v>
      </c>
      <c r="H18" s="3">
        <v>0.22361111111111101</v>
      </c>
      <c r="I18" s="3">
        <v>0.29421296296296301</v>
      </c>
      <c r="J18" s="3">
        <f t="shared" si="0"/>
        <v>7.0601851851851999E-2</v>
      </c>
      <c r="K18" s="3">
        <f t="shared" si="1"/>
        <v>6.7361111111110539E-3</v>
      </c>
      <c r="L18" s="4">
        <v>0.30094907407407406</v>
      </c>
      <c r="M18" s="4">
        <v>0.58449074074074081</v>
      </c>
      <c r="N18" s="4">
        <f t="shared" si="2"/>
        <v>0.28354166666666675</v>
      </c>
      <c r="O18" s="4">
        <f t="shared" si="3"/>
        <v>5.2314814814813371E-3</v>
      </c>
      <c r="P18" s="4">
        <v>0.58972222222222215</v>
      </c>
      <c r="Q18" s="4">
        <v>0.77243055555555562</v>
      </c>
      <c r="R18" s="4">
        <f t="shared" si="4"/>
        <v>0.18270833333333347</v>
      </c>
      <c r="S18" s="4"/>
      <c r="T18" s="4">
        <f t="shared" si="5"/>
        <v>0.54881944444444464</v>
      </c>
      <c r="U18" s="1" t="s">
        <v>208</v>
      </c>
    </row>
    <row r="19" spans="1:21">
      <c r="A19" s="1">
        <v>18</v>
      </c>
      <c r="B19" s="2">
        <v>50</v>
      </c>
      <c r="C19" s="2" t="s">
        <v>63</v>
      </c>
      <c r="D19" s="2" t="s">
        <v>210</v>
      </c>
      <c r="E19" s="6" t="s">
        <v>64</v>
      </c>
      <c r="F19" s="2" t="s">
        <v>65</v>
      </c>
      <c r="H19" s="3">
        <v>0.22361111111111101</v>
      </c>
      <c r="I19" s="3">
        <v>0.28238425925925925</v>
      </c>
      <c r="J19" s="3">
        <f t="shared" si="0"/>
        <v>5.8773148148148241E-2</v>
      </c>
      <c r="K19" s="3">
        <f t="shared" si="1"/>
        <v>4.8611111111111494E-3</v>
      </c>
      <c r="L19" s="4">
        <v>0.2872453703703704</v>
      </c>
      <c r="M19" s="4">
        <v>0.59151620370370372</v>
      </c>
      <c r="N19" s="4">
        <f t="shared" si="2"/>
        <v>0.30427083333333332</v>
      </c>
      <c r="O19" s="4">
        <f t="shared" si="3"/>
        <v>5.9490740740740788E-3</v>
      </c>
      <c r="P19" s="4">
        <v>0.5974652777777778</v>
      </c>
      <c r="Q19" s="4">
        <v>0.77700231481481474</v>
      </c>
      <c r="R19" s="4">
        <f t="shared" si="4"/>
        <v>0.17953703703703694</v>
      </c>
      <c r="S19" s="4"/>
      <c r="T19" s="4">
        <f t="shared" si="5"/>
        <v>0.55339120370370376</v>
      </c>
      <c r="U19" s="1" t="s">
        <v>208</v>
      </c>
    </row>
    <row r="20" spans="1:21">
      <c r="A20" s="1">
        <v>19</v>
      </c>
      <c r="B20" s="2">
        <v>30</v>
      </c>
      <c r="C20" s="2" t="s">
        <v>66</v>
      </c>
      <c r="D20" s="2" t="s">
        <v>210</v>
      </c>
      <c r="E20" s="6" t="s">
        <v>67</v>
      </c>
      <c r="F20" s="2" t="s">
        <v>25</v>
      </c>
      <c r="H20" s="3">
        <v>0.22361111111111101</v>
      </c>
      <c r="I20" s="3">
        <v>0.28310185185185183</v>
      </c>
      <c r="J20" s="3">
        <f t="shared" si="0"/>
        <v>5.9490740740740816E-2</v>
      </c>
      <c r="K20" s="3">
        <f t="shared" si="1"/>
        <v>4.4444444444444731E-3</v>
      </c>
      <c r="L20" s="4">
        <v>0.2875462962962963</v>
      </c>
      <c r="M20" s="4">
        <v>0.56122685185185184</v>
      </c>
      <c r="N20" s="4">
        <f t="shared" si="2"/>
        <v>0.27368055555555554</v>
      </c>
      <c r="O20" s="4">
        <f t="shared" si="3"/>
        <v>5.1851851851851816E-3</v>
      </c>
      <c r="P20" s="4">
        <v>0.56641203703703702</v>
      </c>
      <c r="Q20" s="4">
        <v>0.77826388888888898</v>
      </c>
      <c r="R20" s="4">
        <f t="shared" si="4"/>
        <v>0.21185185185185196</v>
      </c>
      <c r="S20" s="4"/>
      <c r="T20" s="4">
        <f t="shared" si="5"/>
        <v>0.55465277777777799</v>
      </c>
      <c r="U20" s="1" t="s">
        <v>208</v>
      </c>
    </row>
    <row r="21" spans="1:21">
      <c r="A21" s="1">
        <v>20</v>
      </c>
      <c r="B21" s="2">
        <v>19</v>
      </c>
      <c r="C21" s="2" t="s">
        <v>68</v>
      </c>
      <c r="D21" s="2" t="s">
        <v>210</v>
      </c>
      <c r="E21" s="6" t="s">
        <v>69</v>
      </c>
      <c r="F21" s="2" t="s">
        <v>29</v>
      </c>
      <c r="H21" s="3">
        <v>0.22361111111111101</v>
      </c>
      <c r="I21" s="3">
        <v>0.29001157407407407</v>
      </c>
      <c r="J21" s="3">
        <f t="shared" si="0"/>
        <v>6.6400462962963064E-2</v>
      </c>
      <c r="K21" s="3">
        <f t="shared" si="1"/>
        <v>4.8958333333333215E-3</v>
      </c>
      <c r="L21" s="4">
        <v>0.2949074074074074</v>
      </c>
      <c r="M21" s="4">
        <v>0.57565972222222228</v>
      </c>
      <c r="N21" s="4">
        <f t="shared" si="2"/>
        <v>0.28075231481481489</v>
      </c>
      <c r="O21" s="4">
        <f t="shared" si="3"/>
        <v>2.4884259259259078E-3</v>
      </c>
      <c r="P21" s="4">
        <v>0.57814814814814819</v>
      </c>
      <c r="Q21" s="4">
        <v>0.78202546296296294</v>
      </c>
      <c r="R21" s="4">
        <f t="shared" si="4"/>
        <v>0.20387731481481475</v>
      </c>
      <c r="S21" s="4"/>
      <c r="T21" s="4">
        <f t="shared" si="5"/>
        <v>0.55841435185185195</v>
      </c>
      <c r="U21" s="1" t="s">
        <v>208</v>
      </c>
    </row>
    <row r="22" spans="1:21">
      <c r="A22" s="1">
        <v>21</v>
      </c>
      <c r="B22" s="2">
        <v>13</v>
      </c>
      <c r="C22" s="2" t="s">
        <v>70</v>
      </c>
      <c r="D22" s="2" t="s">
        <v>210</v>
      </c>
      <c r="E22" s="6" t="s">
        <v>71</v>
      </c>
      <c r="F22" s="2" t="s">
        <v>19</v>
      </c>
      <c r="H22" s="3">
        <v>0.22361111111111101</v>
      </c>
      <c r="I22" s="3">
        <v>0.30086805555555557</v>
      </c>
      <c r="J22" s="3">
        <f t="shared" si="0"/>
        <v>7.7256944444444559E-2</v>
      </c>
      <c r="K22" s="3">
        <f t="shared" si="1"/>
        <v>4.7916666666666385E-3</v>
      </c>
      <c r="L22" s="4">
        <v>0.30565972222222221</v>
      </c>
      <c r="M22" s="4">
        <v>0.5756944444444444</v>
      </c>
      <c r="N22" s="4">
        <f t="shared" si="2"/>
        <v>0.27003472222222219</v>
      </c>
      <c r="O22" s="4">
        <f t="shared" si="3"/>
        <v>3.263888888888955E-3</v>
      </c>
      <c r="P22" s="4">
        <v>0.57895833333333335</v>
      </c>
      <c r="Q22" s="4">
        <v>0.78351851851851861</v>
      </c>
      <c r="R22" s="4">
        <f t="shared" si="4"/>
        <v>0.20456018518518526</v>
      </c>
      <c r="S22" s="4"/>
      <c r="T22" s="4">
        <f t="shared" si="5"/>
        <v>0.55990740740740763</v>
      </c>
      <c r="U22" s="1" t="s">
        <v>208</v>
      </c>
    </row>
    <row r="23" spans="1:21">
      <c r="A23" s="1">
        <v>22</v>
      </c>
      <c r="B23" s="2">
        <v>101</v>
      </c>
      <c r="C23" s="2" t="s">
        <v>72</v>
      </c>
      <c r="D23" s="2" t="s">
        <v>210</v>
      </c>
      <c r="E23" s="6" t="s">
        <v>73</v>
      </c>
      <c r="F23" s="2" t="s">
        <v>74</v>
      </c>
      <c r="H23" s="3">
        <v>0.22361111111111101</v>
      </c>
      <c r="I23" s="3">
        <v>0.28265046296296298</v>
      </c>
      <c r="J23" s="3">
        <f t="shared" si="0"/>
        <v>5.9039351851851968E-2</v>
      </c>
      <c r="K23" s="3">
        <f t="shared" si="1"/>
        <v>2.5578703703703631E-3</v>
      </c>
      <c r="L23" s="4">
        <v>0.28520833333333334</v>
      </c>
      <c r="M23" s="4">
        <v>0.56070601851851853</v>
      </c>
      <c r="N23" s="4">
        <f t="shared" si="2"/>
        <v>0.27549768518518519</v>
      </c>
      <c r="O23" s="4">
        <f t="shared" si="3"/>
        <v>2.3032407407407307E-3</v>
      </c>
      <c r="P23" s="4">
        <v>0.56300925925925926</v>
      </c>
      <c r="Q23" s="4">
        <v>0.78651620370370379</v>
      </c>
      <c r="R23" s="4">
        <f t="shared" si="4"/>
        <v>0.22350694444444452</v>
      </c>
      <c r="S23" s="4"/>
      <c r="T23" s="4">
        <f t="shared" si="5"/>
        <v>0.5629050925925928</v>
      </c>
      <c r="U23" s="1" t="s">
        <v>208</v>
      </c>
    </row>
    <row r="24" spans="1:21">
      <c r="A24" s="1">
        <v>23</v>
      </c>
      <c r="B24" s="2">
        <v>91</v>
      </c>
      <c r="C24" s="2" t="s">
        <v>75</v>
      </c>
      <c r="D24" s="2" t="s">
        <v>210</v>
      </c>
      <c r="E24" s="6" t="s">
        <v>76</v>
      </c>
      <c r="F24" s="2" t="s">
        <v>65</v>
      </c>
      <c r="H24" s="3">
        <v>0.22361111111111101</v>
      </c>
      <c r="I24" s="3">
        <v>0.29317129629629629</v>
      </c>
      <c r="J24" s="3">
        <f t="shared" si="0"/>
        <v>6.956018518518528E-2</v>
      </c>
      <c r="K24" s="3">
        <f t="shared" si="1"/>
        <v>7.7083333333333171E-3</v>
      </c>
      <c r="L24" s="4">
        <v>0.30087962962962961</v>
      </c>
      <c r="M24" s="4">
        <v>0.58484953703703701</v>
      </c>
      <c r="N24" s="4">
        <f t="shared" si="2"/>
        <v>0.28396990740740741</v>
      </c>
      <c r="O24" s="4">
        <f t="shared" si="3"/>
        <v>5.7986111111111294E-3</v>
      </c>
      <c r="P24" s="4">
        <v>0.59064814814814814</v>
      </c>
      <c r="Q24" s="4">
        <v>0.78864583333333327</v>
      </c>
      <c r="R24" s="4">
        <f t="shared" si="4"/>
        <v>0.19799768518518512</v>
      </c>
      <c r="S24" s="4"/>
      <c r="T24" s="4">
        <f t="shared" si="5"/>
        <v>0.56503472222222229</v>
      </c>
      <c r="U24" s="1" t="s">
        <v>208</v>
      </c>
    </row>
    <row r="25" spans="1:21">
      <c r="A25" s="1">
        <v>24</v>
      </c>
      <c r="B25" s="2">
        <v>109</v>
      </c>
      <c r="C25" s="2" t="s">
        <v>77</v>
      </c>
      <c r="D25" s="2" t="s">
        <v>210</v>
      </c>
      <c r="E25" s="6" t="s">
        <v>78</v>
      </c>
      <c r="F25" s="2" t="s">
        <v>26</v>
      </c>
      <c r="H25" s="3">
        <v>0.22361111111111101</v>
      </c>
      <c r="I25" s="3">
        <v>0.29539351851851853</v>
      </c>
      <c r="J25" s="3">
        <f t="shared" si="0"/>
        <v>7.1782407407407517E-2</v>
      </c>
      <c r="K25" s="3">
        <f t="shared" si="1"/>
        <v>1.0034722222222237E-2</v>
      </c>
      <c r="L25" s="4">
        <v>0.30542824074074076</v>
      </c>
      <c r="M25" s="4">
        <v>0.57101851851851848</v>
      </c>
      <c r="N25" s="4">
        <f t="shared" si="2"/>
        <v>0.26559027777777772</v>
      </c>
      <c r="O25" s="4">
        <f t="shared" si="3"/>
        <v>1.8518518518518823E-3</v>
      </c>
      <c r="P25" s="4">
        <v>0.57287037037037036</v>
      </c>
      <c r="Q25" s="4">
        <v>0.79248842592592583</v>
      </c>
      <c r="R25" s="4">
        <f t="shared" si="4"/>
        <v>0.21961805555555547</v>
      </c>
      <c r="S25" s="4"/>
      <c r="T25" s="4">
        <f t="shared" si="5"/>
        <v>0.56887731481481485</v>
      </c>
      <c r="U25" s="1" t="s">
        <v>208</v>
      </c>
    </row>
    <row r="26" spans="1:21">
      <c r="A26" s="1">
        <v>25</v>
      </c>
      <c r="B26" s="2">
        <v>38</v>
      </c>
      <c r="C26" s="2" t="s">
        <v>79</v>
      </c>
      <c r="D26" s="2" t="s">
        <v>210</v>
      </c>
      <c r="E26" s="6" t="s">
        <v>80</v>
      </c>
      <c r="F26" s="2" t="s">
        <v>38</v>
      </c>
      <c r="H26" s="3">
        <v>0.22361111111111101</v>
      </c>
      <c r="I26" s="3">
        <v>0.29621527777777779</v>
      </c>
      <c r="J26" s="3">
        <f t="shared" si="0"/>
        <v>7.2604166666666775E-2</v>
      </c>
      <c r="K26" s="3">
        <f t="shared" si="1"/>
        <v>2.6851851851851793E-3</v>
      </c>
      <c r="L26" s="4">
        <v>0.29890046296296297</v>
      </c>
      <c r="M26" s="4">
        <v>0.5945138888888889</v>
      </c>
      <c r="N26" s="4">
        <f t="shared" si="2"/>
        <v>0.29561342592592593</v>
      </c>
      <c r="O26" s="4">
        <f t="shared" si="3"/>
        <v>3.4490740740740211E-3</v>
      </c>
      <c r="P26" s="4">
        <v>0.59796296296296292</v>
      </c>
      <c r="Q26" s="4">
        <v>0.79342592592592587</v>
      </c>
      <c r="R26" s="4">
        <f t="shared" si="4"/>
        <v>0.19546296296296295</v>
      </c>
      <c r="S26" s="4"/>
      <c r="T26" s="4">
        <f t="shared" si="5"/>
        <v>0.56981481481481489</v>
      </c>
      <c r="U26" s="1" t="s">
        <v>208</v>
      </c>
    </row>
    <row r="27" spans="1:21">
      <c r="A27" s="1">
        <v>26</v>
      </c>
      <c r="B27" s="2">
        <v>122</v>
      </c>
      <c r="C27" s="2" t="s">
        <v>81</v>
      </c>
      <c r="D27" s="2" t="s">
        <v>210</v>
      </c>
      <c r="E27" s="6" t="s">
        <v>82</v>
      </c>
      <c r="F27" s="2" t="s">
        <v>83</v>
      </c>
      <c r="H27" s="3">
        <v>0.22361111111111101</v>
      </c>
      <c r="I27" s="3">
        <v>0.2898958333333333</v>
      </c>
      <c r="J27" s="3">
        <f t="shared" si="0"/>
        <v>6.6284722222222286E-2</v>
      </c>
      <c r="K27" s="3">
        <f t="shared" si="1"/>
        <v>1.0324074074074097E-2</v>
      </c>
      <c r="L27" s="4">
        <v>0.30021990740740739</v>
      </c>
      <c r="M27" s="4">
        <v>0.60912037037037037</v>
      </c>
      <c r="N27" s="4">
        <f t="shared" si="2"/>
        <v>0.30890046296296297</v>
      </c>
      <c r="O27" s="4">
        <f t="shared" si="3"/>
        <v>4.8032407407407884E-3</v>
      </c>
      <c r="P27" s="4">
        <v>0.61392361111111116</v>
      </c>
      <c r="Q27" s="4">
        <v>0.79380787037037026</v>
      </c>
      <c r="R27" s="4">
        <f t="shared" si="4"/>
        <v>0.1798842592592591</v>
      </c>
      <c r="S27" s="4"/>
      <c r="T27" s="4">
        <f t="shared" si="5"/>
        <v>0.57019675925925928</v>
      </c>
      <c r="U27" s="1" t="s">
        <v>208</v>
      </c>
    </row>
    <row r="28" spans="1:21">
      <c r="A28" s="1">
        <v>27</v>
      </c>
      <c r="B28" s="2">
        <v>37</v>
      </c>
      <c r="C28" s="2" t="s">
        <v>84</v>
      </c>
      <c r="D28" s="2" t="s">
        <v>210</v>
      </c>
      <c r="E28" s="6" t="s">
        <v>85</v>
      </c>
      <c r="F28" s="2" t="s">
        <v>86</v>
      </c>
      <c r="H28" s="3">
        <v>0.22361111111111101</v>
      </c>
      <c r="I28" s="3">
        <v>0.28496527777777775</v>
      </c>
      <c r="J28" s="3">
        <f t="shared" si="0"/>
        <v>6.1354166666666737E-2</v>
      </c>
      <c r="K28" s="3">
        <f t="shared" si="1"/>
        <v>3.5879629629629872E-3</v>
      </c>
      <c r="L28" s="4">
        <v>0.28855324074074074</v>
      </c>
      <c r="M28" s="4">
        <v>0.60581018518518526</v>
      </c>
      <c r="N28" s="4">
        <f t="shared" si="2"/>
        <v>0.31725694444444452</v>
      </c>
      <c r="O28" s="4">
        <f t="shared" si="3"/>
        <v>2.6388888888888573E-3</v>
      </c>
      <c r="P28" s="4">
        <v>0.60844907407407411</v>
      </c>
      <c r="Q28" s="4">
        <v>0.79388888888888898</v>
      </c>
      <c r="R28" s="4">
        <f t="shared" si="4"/>
        <v>0.18543981481481486</v>
      </c>
      <c r="S28" s="4"/>
      <c r="T28" s="4">
        <f t="shared" si="5"/>
        <v>0.57027777777777799</v>
      </c>
      <c r="U28" s="1" t="s">
        <v>208</v>
      </c>
    </row>
    <row r="29" spans="1:21">
      <c r="A29" s="1">
        <v>28</v>
      </c>
      <c r="B29" s="2">
        <v>89</v>
      </c>
      <c r="C29" s="2" t="s">
        <v>87</v>
      </c>
      <c r="D29" s="2" t="s">
        <v>210</v>
      </c>
      <c r="E29" s="6" t="s">
        <v>88</v>
      </c>
      <c r="F29" s="2" t="s">
        <v>89</v>
      </c>
      <c r="H29" s="3">
        <v>0.22361111111111101</v>
      </c>
      <c r="I29" s="3">
        <v>0.2961226851851852</v>
      </c>
      <c r="J29" s="3">
        <f t="shared" si="0"/>
        <v>7.2511574074074187E-2</v>
      </c>
      <c r="K29" s="3">
        <f t="shared" si="1"/>
        <v>0</v>
      </c>
      <c r="L29" s="4">
        <v>0.2961226851851852</v>
      </c>
      <c r="M29" s="4">
        <v>0.59440972222222221</v>
      </c>
      <c r="N29" s="4">
        <f t="shared" si="2"/>
        <v>0.29828703703703702</v>
      </c>
      <c r="O29" s="4">
        <f t="shared" si="3"/>
        <v>3.6689814814815369E-3</v>
      </c>
      <c r="P29" s="4">
        <v>0.59807870370370375</v>
      </c>
      <c r="Q29" s="4">
        <v>0.79493055555555558</v>
      </c>
      <c r="R29" s="4">
        <f t="shared" si="4"/>
        <v>0.19685185185185183</v>
      </c>
      <c r="S29" s="4"/>
      <c r="T29" s="4">
        <f t="shared" si="5"/>
        <v>0.5713194444444446</v>
      </c>
      <c r="U29" s="1" t="s">
        <v>208</v>
      </c>
    </row>
    <row r="30" spans="1:21">
      <c r="A30" s="1">
        <v>29</v>
      </c>
      <c r="B30" s="2">
        <v>28</v>
      </c>
      <c r="C30" s="2" t="s">
        <v>90</v>
      </c>
      <c r="D30" s="2" t="s">
        <v>210</v>
      </c>
      <c r="E30" s="6" t="s">
        <v>91</v>
      </c>
      <c r="F30" s="2" t="s">
        <v>92</v>
      </c>
      <c r="H30" s="3">
        <v>0.22361111111111101</v>
      </c>
      <c r="I30" s="3">
        <v>0.28055555555555556</v>
      </c>
      <c r="J30" s="3">
        <f t="shared" si="0"/>
        <v>5.6944444444444547E-2</v>
      </c>
      <c r="K30" s="3">
        <f t="shared" si="1"/>
        <v>5.7523148148148073E-3</v>
      </c>
      <c r="L30" s="4">
        <v>0.28630787037037037</v>
      </c>
      <c r="M30" s="4">
        <v>0.55207175925925933</v>
      </c>
      <c r="N30" s="4">
        <f t="shared" si="2"/>
        <v>0.26576388888888897</v>
      </c>
      <c r="O30" s="4">
        <f t="shared" si="3"/>
        <v>4.6064814814814614E-3</v>
      </c>
      <c r="P30" s="4">
        <v>0.55667824074074079</v>
      </c>
      <c r="Q30" s="4">
        <v>0.796875</v>
      </c>
      <c r="R30" s="4">
        <f t="shared" si="4"/>
        <v>0.24019675925925921</v>
      </c>
      <c r="S30" s="4"/>
      <c r="T30" s="4">
        <f t="shared" si="5"/>
        <v>0.57326388888888902</v>
      </c>
      <c r="U30" s="1" t="s">
        <v>208</v>
      </c>
    </row>
    <row r="31" spans="1:21">
      <c r="A31" s="1">
        <v>30</v>
      </c>
      <c r="B31" s="2">
        <v>46</v>
      </c>
      <c r="C31" s="2" t="s">
        <v>93</v>
      </c>
      <c r="D31" s="2" t="s">
        <v>210</v>
      </c>
      <c r="E31" s="6" t="s">
        <v>94</v>
      </c>
      <c r="F31" s="2" t="s">
        <v>26</v>
      </c>
      <c r="H31" s="3">
        <v>0.22361111111111101</v>
      </c>
      <c r="I31" s="3">
        <v>0.29046296296296298</v>
      </c>
      <c r="J31" s="3">
        <f t="shared" si="0"/>
        <v>6.6851851851851968E-2</v>
      </c>
      <c r="K31" s="3">
        <f t="shared" si="1"/>
        <v>7.4074074074074181E-3</v>
      </c>
      <c r="L31" s="4">
        <v>0.2978703703703704</v>
      </c>
      <c r="M31" s="4">
        <v>0.58071759259259259</v>
      </c>
      <c r="N31" s="4">
        <f t="shared" si="2"/>
        <v>0.28284722222222219</v>
      </c>
      <c r="O31" s="4">
        <f t="shared" si="3"/>
        <v>4.6874999999999556E-3</v>
      </c>
      <c r="P31" s="4">
        <v>0.58540509259259255</v>
      </c>
      <c r="Q31" s="4">
        <v>0.7984606481481481</v>
      </c>
      <c r="R31" s="4">
        <f t="shared" si="4"/>
        <v>0.21305555555555555</v>
      </c>
      <c r="S31" s="4"/>
      <c r="T31" s="4">
        <f t="shared" si="5"/>
        <v>0.57484953703703712</v>
      </c>
      <c r="U31" s="1" t="s">
        <v>208</v>
      </c>
    </row>
    <row r="32" spans="1:21">
      <c r="A32" s="1">
        <v>31</v>
      </c>
      <c r="B32" s="2">
        <v>136</v>
      </c>
      <c r="C32" s="2" t="s">
        <v>95</v>
      </c>
      <c r="D32" s="2" t="s">
        <v>210</v>
      </c>
      <c r="E32" s="6" t="s">
        <v>96</v>
      </c>
      <c r="F32" s="2" t="s">
        <v>48</v>
      </c>
      <c r="H32" s="3">
        <v>0.22361111111111101</v>
      </c>
      <c r="I32" s="3">
        <v>0.30560185185185185</v>
      </c>
      <c r="J32" s="3">
        <f t="shared" si="0"/>
        <v>8.1990740740740836E-2</v>
      </c>
      <c r="K32" s="3">
        <f t="shared" si="1"/>
        <v>3.7384259259259367E-3</v>
      </c>
      <c r="L32" s="4">
        <v>0.30934027777777778</v>
      </c>
      <c r="M32" s="4">
        <v>0.58008101851851845</v>
      </c>
      <c r="N32" s="4">
        <f t="shared" si="2"/>
        <v>0.27074074074074067</v>
      </c>
      <c r="O32" s="4">
        <f t="shared" si="3"/>
        <v>4.9884259259259656E-3</v>
      </c>
      <c r="P32" s="4">
        <v>0.58506944444444442</v>
      </c>
      <c r="Q32" s="4">
        <v>0.79884259259259249</v>
      </c>
      <c r="R32" s="4">
        <f t="shared" si="4"/>
        <v>0.21377314814814807</v>
      </c>
      <c r="S32" s="4"/>
      <c r="T32" s="4">
        <f t="shared" si="5"/>
        <v>0.57523148148148151</v>
      </c>
      <c r="U32" s="1" t="s">
        <v>208</v>
      </c>
    </row>
    <row r="33" spans="1:21">
      <c r="A33" s="1">
        <v>32</v>
      </c>
      <c r="B33" s="2">
        <v>52</v>
      </c>
      <c r="C33" s="2" t="s">
        <v>97</v>
      </c>
      <c r="D33" s="2" t="s">
        <v>210</v>
      </c>
      <c r="E33" s="6" t="s">
        <v>98</v>
      </c>
      <c r="F33" s="2" t="s">
        <v>38</v>
      </c>
      <c r="H33" s="3">
        <v>0.22361111111111101</v>
      </c>
      <c r="I33" s="3">
        <v>0.27456018518518516</v>
      </c>
      <c r="J33" s="3">
        <f t="shared" si="0"/>
        <v>5.0949074074074147E-2</v>
      </c>
      <c r="K33" s="3">
        <f t="shared" si="1"/>
        <v>6.2615740740741277E-3</v>
      </c>
      <c r="L33" s="4">
        <v>0.28082175925925928</v>
      </c>
      <c r="M33" s="4">
        <v>0.58812500000000001</v>
      </c>
      <c r="N33" s="4">
        <f t="shared" si="2"/>
        <v>0.30730324074074072</v>
      </c>
      <c r="O33" s="4">
        <f t="shared" si="3"/>
        <v>5.93750000000004E-3</v>
      </c>
      <c r="P33" s="4">
        <v>0.59406250000000005</v>
      </c>
      <c r="Q33" s="4">
        <v>0.79913194444444446</v>
      </c>
      <c r="R33" s="4">
        <f t="shared" si="4"/>
        <v>0.20506944444444442</v>
      </c>
      <c r="S33" s="4"/>
      <c r="T33" s="4">
        <f t="shared" si="5"/>
        <v>0.57552083333333348</v>
      </c>
      <c r="U33" s="1" t="s">
        <v>208</v>
      </c>
    </row>
    <row r="34" spans="1:21">
      <c r="A34" s="1">
        <v>33</v>
      </c>
      <c r="B34" s="2">
        <v>88</v>
      </c>
      <c r="C34" s="2" t="s">
        <v>99</v>
      </c>
      <c r="D34" s="2" t="s">
        <v>210</v>
      </c>
      <c r="E34" s="6" t="s">
        <v>100</v>
      </c>
      <c r="F34" s="2" t="s">
        <v>38</v>
      </c>
      <c r="G34" s="5"/>
      <c r="H34" s="3">
        <v>0.22361111111111101</v>
      </c>
      <c r="I34" s="3">
        <v>0.29487268518518517</v>
      </c>
      <c r="J34" s="3">
        <f t="shared" ref="J34:J66" si="6">I34-H34</f>
        <v>7.1261574074074158E-2</v>
      </c>
      <c r="K34" s="3">
        <f t="shared" ref="K34:K66" si="7">L34-I34</f>
        <v>1.0034722222222237E-2</v>
      </c>
      <c r="L34" s="4">
        <v>0.3049074074074074</v>
      </c>
      <c r="M34" s="4">
        <v>0.60288194444444443</v>
      </c>
      <c r="N34" s="4">
        <f t="shared" ref="N34:N66" si="8">M34-L34</f>
        <v>0.29797453703703702</v>
      </c>
      <c r="O34" s="4">
        <f t="shared" ref="O34:O66" si="9">P34-M34</f>
        <v>5.8217592592592071E-3</v>
      </c>
      <c r="P34" s="4">
        <v>0.60870370370370364</v>
      </c>
      <c r="Q34" s="4">
        <v>0.80011574074074077</v>
      </c>
      <c r="R34" s="4">
        <f t="shared" ref="R34:R66" si="10">Q34-P34</f>
        <v>0.19141203703703713</v>
      </c>
      <c r="S34" s="4"/>
      <c r="T34" s="4">
        <f t="shared" ref="T34:T66" si="11">J34+K34+N34+O34+R34</f>
        <v>0.57650462962962978</v>
      </c>
      <c r="U34" s="1" t="s">
        <v>208</v>
      </c>
    </row>
    <row r="35" spans="1:21">
      <c r="A35" s="1">
        <v>34</v>
      </c>
      <c r="B35" s="2">
        <v>120</v>
      </c>
      <c r="C35" s="2" t="s">
        <v>101</v>
      </c>
      <c r="D35" s="2" t="s">
        <v>210</v>
      </c>
      <c r="E35" s="6" t="s">
        <v>102</v>
      </c>
      <c r="F35" s="2" t="s">
        <v>38</v>
      </c>
      <c r="H35" s="3">
        <v>0.22361111111111101</v>
      </c>
      <c r="I35" s="3">
        <v>0.27836805555555555</v>
      </c>
      <c r="J35" s="3">
        <f t="shared" si="6"/>
        <v>5.4756944444444539E-2</v>
      </c>
      <c r="K35" s="3">
        <f t="shared" si="7"/>
        <v>5.8333333333333015E-3</v>
      </c>
      <c r="L35" s="4">
        <v>0.28420138888888885</v>
      </c>
      <c r="M35" s="4">
        <v>0.58134259259259258</v>
      </c>
      <c r="N35" s="4">
        <f t="shared" si="8"/>
        <v>0.29714120370370373</v>
      </c>
      <c r="O35" s="4">
        <f t="shared" si="9"/>
        <v>4.8842592592592826E-3</v>
      </c>
      <c r="P35" s="4">
        <v>0.58622685185185186</v>
      </c>
      <c r="Q35" s="4">
        <v>0.80116898148148152</v>
      </c>
      <c r="R35" s="4">
        <f t="shared" si="10"/>
        <v>0.21494212962962966</v>
      </c>
      <c r="S35" s="4"/>
      <c r="T35" s="4">
        <f t="shared" si="11"/>
        <v>0.57755787037037054</v>
      </c>
      <c r="U35" s="1" t="s">
        <v>208</v>
      </c>
    </row>
    <row r="36" spans="1:21">
      <c r="A36" s="1">
        <v>35</v>
      </c>
      <c r="B36" s="2">
        <v>7</v>
      </c>
      <c r="C36" s="2" t="s">
        <v>103</v>
      </c>
      <c r="D36" s="2" t="s">
        <v>210</v>
      </c>
      <c r="E36" s="6" t="s">
        <v>104</v>
      </c>
      <c r="F36" s="2" t="s">
        <v>38</v>
      </c>
      <c r="H36" s="3">
        <v>0.22361111111111101</v>
      </c>
      <c r="I36" s="3">
        <v>0.2936111111111111</v>
      </c>
      <c r="J36" s="3">
        <f t="shared" si="6"/>
        <v>7.000000000000009E-2</v>
      </c>
      <c r="K36" s="3">
        <f t="shared" si="7"/>
        <v>6.2499999999999778E-3</v>
      </c>
      <c r="L36" s="4">
        <v>0.29986111111111108</v>
      </c>
      <c r="M36" s="4">
        <v>0.60988425925925926</v>
      </c>
      <c r="N36" s="4">
        <f t="shared" si="8"/>
        <v>0.31002314814814819</v>
      </c>
      <c r="O36" s="4">
        <f t="shared" si="9"/>
        <v>5.6481481481481799E-3</v>
      </c>
      <c r="P36" s="4">
        <v>0.61553240740740744</v>
      </c>
      <c r="Q36" s="4">
        <v>0.80221064814814813</v>
      </c>
      <c r="R36" s="4">
        <f t="shared" si="10"/>
        <v>0.18667824074074069</v>
      </c>
      <c r="S36" s="4"/>
      <c r="T36" s="4">
        <f t="shared" si="11"/>
        <v>0.57859953703703715</v>
      </c>
      <c r="U36" s="1" t="s">
        <v>208</v>
      </c>
    </row>
    <row r="37" spans="1:21">
      <c r="A37" s="1">
        <v>36</v>
      </c>
      <c r="B37" s="2">
        <v>125</v>
      </c>
      <c r="C37" s="2" t="s">
        <v>229</v>
      </c>
      <c r="D37" s="2" t="s">
        <v>230</v>
      </c>
      <c r="E37" s="7" t="s">
        <v>231</v>
      </c>
      <c r="F37" s="2" t="s">
        <v>184</v>
      </c>
      <c r="H37" s="3">
        <v>0.22361111111111101</v>
      </c>
      <c r="I37" s="3">
        <v>0.29626157407407411</v>
      </c>
      <c r="J37" s="3">
        <f t="shared" ref="J37" si="12">I37-H37</f>
        <v>7.2650462962963097E-2</v>
      </c>
      <c r="K37" s="3">
        <f t="shared" ref="K37" si="13">L37-I37</f>
        <v>9.1898148148147896E-3</v>
      </c>
      <c r="L37" s="4">
        <v>0.3054513888888889</v>
      </c>
      <c r="M37" s="4">
        <v>0.58062500000000006</v>
      </c>
      <c r="N37" s="4">
        <f t="shared" ref="N37" si="14">M37-L37</f>
        <v>0.27517361111111116</v>
      </c>
      <c r="O37" s="4">
        <f t="shared" ref="O37" si="15">P37-M37</f>
        <v>6.5046296296296102E-3</v>
      </c>
      <c r="P37" s="4">
        <v>0.58712962962962967</v>
      </c>
      <c r="Q37" s="4">
        <v>0.80381944444444453</v>
      </c>
      <c r="R37" s="4">
        <f t="shared" ref="R37" si="16">Q37-P37</f>
        <v>0.21668981481481486</v>
      </c>
      <c r="S37" s="4"/>
      <c r="T37" s="4">
        <f t="shared" ref="T37" si="17">J37+K37+N37+O37+R37</f>
        <v>0.58020833333333355</v>
      </c>
      <c r="U37" s="1" t="s">
        <v>208</v>
      </c>
    </row>
    <row r="38" spans="1:21">
      <c r="A38" s="1">
        <v>37</v>
      </c>
      <c r="B38" s="2">
        <v>49</v>
      </c>
      <c r="C38" s="2" t="s">
        <v>105</v>
      </c>
      <c r="D38" s="2" t="s">
        <v>210</v>
      </c>
      <c r="E38" s="6" t="s">
        <v>106</v>
      </c>
      <c r="F38" s="2" t="s">
        <v>26</v>
      </c>
      <c r="H38" s="3">
        <v>0.22361111111111101</v>
      </c>
      <c r="I38" s="3">
        <v>0.29399305555555555</v>
      </c>
      <c r="J38" s="3">
        <f t="shared" si="6"/>
        <v>7.0381944444444539E-2</v>
      </c>
      <c r="K38" s="3">
        <f t="shared" si="7"/>
        <v>3.703703703703709E-3</v>
      </c>
      <c r="L38" s="4">
        <v>0.29769675925925926</v>
      </c>
      <c r="M38" s="4">
        <v>0.56759259259259254</v>
      </c>
      <c r="N38" s="4">
        <f t="shared" si="8"/>
        <v>0.26989583333333328</v>
      </c>
      <c r="O38" s="4">
        <f t="shared" si="9"/>
        <v>2.1990740740741588E-3</v>
      </c>
      <c r="P38" s="4">
        <v>0.5697916666666667</v>
      </c>
      <c r="Q38" s="4">
        <v>0.80534722222222221</v>
      </c>
      <c r="R38" s="4">
        <f t="shared" si="10"/>
        <v>0.23555555555555552</v>
      </c>
      <c r="S38" s="4"/>
      <c r="T38" s="4">
        <f t="shared" si="11"/>
        <v>0.58173611111111123</v>
      </c>
      <c r="U38" s="1" t="s">
        <v>208</v>
      </c>
    </row>
    <row r="39" spans="1:21">
      <c r="A39" s="1">
        <v>38</v>
      </c>
      <c r="B39" s="2">
        <v>15</v>
      </c>
      <c r="C39" s="2" t="s">
        <v>107</v>
      </c>
      <c r="D39" s="2" t="s">
        <v>210</v>
      </c>
      <c r="E39" s="6" t="s">
        <v>108</v>
      </c>
      <c r="F39" s="2" t="s">
        <v>109</v>
      </c>
      <c r="H39" s="3">
        <v>0.22361111111111101</v>
      </c>
      <c r="I39" s="3">
        <v>0.28042824074074074</v>
      </c>
      <c r="J39" s="3">
        <f t="shared" si="6"/>
        <v>5.6817129629629731E-2</v>
      </c>
      <c r="K39" s="3">
        <f t="shared" si="7"/>
        <v>9.8611111111110983E-3</v>
      </c>
      <c r="L39" s="4">
        <v>0.29028935185185184</v>
      </c>
      <c r="M39" s="4">
        <v>0.56791666666666674</v>
      </c>
      <c r="N39" s="4">
        <f t="shared" si="8"/>
        <v>0.2776273148148149</v>
      </c>
      <c r="O39" s="4">
        <f t="shared" si="9"/>
        <v>7.4074074074073071E-3</v>
      </c>
      <c r="P39" s="4">
        <v>0.57532407407407404</v>
      </c>
      <c r="Q39" s="4">
        <v>0.80821759259259263</v>
      </c>
      <c r="R39" s="4">
        <f t="shared" si="10"/>
        <v>0.23289351851851858</v>
      </c>
      <c r="S39" s="4"/>
      <c r="T39" s="4">
        <f t="shared" si="11"/>
        <v>0.58460648148148164</v>
      </c>
      <c r="U39" s="1" t="s">
        <v>208</v>
      </c>
    </row>
    <row r="40" spans="1:21">
      <c r="A40" s="1">
        <v>39</v>
      </c>
      <c r="B40" s="2">
        <v>48</v>
      </c>
      <c r="C40" s="2" t="s">
        <v>110</v>
      </c>
      <c r="D40" s="2" t="s">
        <v>210</v>
      </c>
      <c r="E40" s="6" t="s">
        <v>111</v>
      </c>
      <c r="F40" s="2" t="s">
        <v>26</v>
      </c>
      <c r="H40" s="3">
        <v>0.22361111111111101</v>
      </c>
      <c r="I40" s="3">
        <v>0.29299768518518515</v>
      </c>
      <c r="J40" s="3">
        <f t="shared" si="6"/>
        <v>6.9386574074074142E-2</v>
      </c>
      <c r="K40" s="3">
        <f t="shared" si="7"/>
        <v>5.2546296296296369E-3</v>
      </c>
      <c r="L40" s="4">
        <v>0.29825231481481479</v>
      </c>
      <c r="M40" s="4">
        <v>0.58259259259259266</v>
      </c>
      <c r="N40" s="4">
        <f t="shared" si="8"/>
        <v>0.28434027777777787</v>
      </c>
      <c r="O40" s="4">
        <f t="shared" si="9"/>
        <v>7.314814814814774E-3</v>
      </c>
      <c r="P40" s="4">
        <v>0.58990740740740744</v>
      </c>
      <c r="Q40" s="4">
        <v>0.8100925925925927</v>
      </c>
      <c r="R40" s="4">
        <f t="shared" si="10"/>
        <v>0.22018518518518526</v>
      </c>
      <c r="S40" s="4"/>
      <c r="T40" s="4">
        <f t="shared" si="11"/>
        <v>0.58648148148148171</v>
      </c>
      <c r="U40" s="1" t="s">
        <v>208</v>
      </c>
    </row>
    <row r="41" spans="1:21">
      <c r="A41" s="1">
        <v>40</v>
      </c>
      <c r="B41" s="2">
        <v>29</v>
      </c>
      <c r="C41" s="2" t="s">
        <v>112</v>
      </c>
      <c r="D41" s="2" t="s">
        <v>210</v>
      </c>
      <c r="E41" s="6" t="s">
        <v>113</v>
      </c>
      <c r="F41" s="2" t="s">
        <v>114</v>
      </c>
      <c r="H41" s="3">
        <v>0.22361111111111101</v>
      </c>
      <c r="I41" s="3">
        <v>0.29609953703703701</v>
      </c>
      <c r="J41" s="3">
        <f t="shared" si="6"/>
        <v>7.2488425925925998E-2</v>
      </c>
      <c r="K41" s="3">
        <f t="shared" si="7"/>
        <v>2.8935185185185452E-3</v>
      </c>
      <c r="L41" s="4">
        <v>0.29899305555555555</v>
      </c>
      <c r="M41" s="4">
        <v>0.60211805555555553</v>
      </c>
      <c r="N41" s="4">
        <f t="shared" si="8"/>
        <v>0.30312499999999998</v>
      </c>
      <c r="O41" s="4">
        <f t="shared" si="9"/>
        <v>2.2569444444444642E-3</v>
      </c>
      <c r="P41" s="4">
        <v>0.604375</v>
      </c>
      <c r="Q41" s="4">
        <v>0.81035879629629637</v>
      </c>
      <c r="R41" s="4">
        <f t="shared" si="10"/>
        <v>0.20598379629629637</v>
      </c>
      <c r="S41" s="4"/>
      <c r="T41" s="4">
        <f t="shared" si="11"/>
        <v>0.58674768518518539</v>
      </c>
      <c r="U41" s="1" t="s">
        <v>208</v>
      </c>
    </row>
    <row r="42" spans="1:21">
      <c r="A42" s="1">
        <v>41</v>
      </c>
      <c r="B42" s="2">
        <v>104</v>
      </c>
      <c r="C42" s="2" t="s">
        <v>115</v>
      </c>
      <c r="D42" s="2" t="s">
        <v>210</v>
      </c>
      <c r="E42" s="6" t="s">
        <v>116</v>
      </c>
      <c r="F42" s="2" t="s">
        <v>117</v>
      </c>
      <c r="H42" s="3">
        <v>0.22361111111111101</v>
      </c>
      <c r="I42" s="3">
        <v>0.28898148148148145</v>
      </c>
      <c r="J42" s="3">
        <f t="shared" si="6"/>
        <v>6.537037037037044E-2</v>
      </c>
      <c r="K42" s="3">
        <f t="shared" si="7"/>
        <v>7.615740740740784E-3</v>
      </c>
      <c r="L42" s="4">
        <v>0.29659722222222223</v>
      </c>
      <c r="M42" s="4">
        <v>0.61542824074074076</v>
      </c>
      <c r="N42" s="4">
        <f t="shared" si="8"/>
        <v>0.31883101851851853</v>
      </c>
      <c r="O42" s="4">
        <f t="shared" si="9"/>
        <v>1.5625000000000222E-3</v>
      </c>
      <c r="P42" s="4">
        <v>0.61699074074074078</v>
      </c>
      <c r="Q42" s="4">
        <v>0.81077546296296299</v>
      </c>
      <c r="R42" s="4">
        <f t="shared" si="10"/>
        <v>0.19378472222222221</v>
      </c>
      <c r="S42" s="4"/>
      <c r="T42" s="4">
        <f t="shared" si="11"/>
        <v>0.58716435185185201</v>
      </c>
      <c r="U42" s="1" t="s">
        <v>208</v>
      </c>
    </row>
    <row r="43" spans="1:21">
      <c r="A43" s="1">
        <v>42</v>
      </c>
      <c r="B43" s="2">
        <v>26</v>
      </c>
      <c r="C43" s="2" t="s">
        <v>118</v>
      </c>
      <c r="D43" s="2" t="s">
        <v>210</v>
      </c>
      <c r="E43" s="6" t="s">
        <v>119</v>
      </c>
      <c r="F43" s="2" t="s">
        <v>83</v>
      </c>
      <c r="H43" s="3">
        <v>0.22361111111111101</v>
      </c>
      <c r="I43" s="3">
        <v>0.29689814814814813</v>
      </c>
      <c r="J43" s="3">
        <f t="shared" si="6"/>
        <v>7.3287037037037123E-2</v>
      </c>
      <c r="K43" s="3">
        <f t="shared" si="7"/>
        <v>5.2777777777778256E-3</v>
      </c>
      <c r="L43" s="4">
        <v>0.30217592592592596</v>
      </c>
      <c r="M43" s="4">
        <v>0.60043981481481479</v>
      </c>
      <c r="N43" s="4">
        <f t="shared" si="8"/>
        <v>0.29826388888888883</v>
      </c>
      <c r="O43" s="4">
        <f t="shared" si="9"/>
        <v>5.0347222222222321E-3</v>
      </c>
      <c r="P43" s="4">
        <v>0.60547453703703702</v>
      </c>
      <c r="Q43" s="4">
        <v>0.81104166666666666</v>
      </c>
      <c r="R43" s="4">
        <f t="shared" si="10"/>
        <v>0.20556712962962964</v>
      </c>
      <c r="S43" s="4"/>
      <c r="T43" s="4">
        <f t="shared" si="11"/>
        <v>0.58743055555555568</v>
      </c>
      <c r="U43" s="1" t="s">
        <v>208</v>
      </c>
    </row>
    <row r="44" spans="1:21">
      <c r="A44" s="1">
        <v>43</v>
      </c>
      <c r="B44" s="2">
        <v>86</v>
      </c>
      <c r="C44" s="2" t="s">
        <v>120</v>
      </c>
      <c r="D44" s="2" t="s">
        <v>210</v>
      </c>
      <c r="E44" s="6" t="s">
        <v>121</v>
      </c>
      <c r="F44" s="2" t="s">
        <v>41</v>
      </c>
      <c r="H44" s="3">
        <v>0.22361111111111101</v>
      </c>
      <c r="I44" s="3">
        <v>0.29603009259259261</v>
      </c>
      <c r="J44" s="3">
        <f t="shared" si="6"/>
        <v>7.2418981481481598E-2</v>
      </c>
      <c r="K44" s="3">
        <f t="shared" si="7"/>
        <v>7.071759259259236E-3</v>
      </c>
      <c r="L44" s="4">
        <v>0.30310185185185184</v>
      </c>
      <c r="M44" s="4">
        <v>0.59539351851851852</v>
      </c>
      <c r="N44" s="4">
        <f t="shared" si="8"/>
        <v>0.29229166666666667</v>
      </c>
      <c r="O44" s="4">
        <f t="shared" si="9"/>
        <v>2.6620370370370461E-3</v>
      </c>
      <c r="P44" s="4">
        <v>0.59805555555555556</v>
      </c>
      <c r="Q44" s="4">
        <v>0.81221064814814825</v>
      </c>
      <c r="R44" s="4">
        <f t="shared" si="10"/>
        <v>0.21415509259259269</v>
      </c>
      <c r="S44" s="4"/>
      <c r="T44" s="4">
        <f t="shared" si="11"/>
        <v>0.58859953703703727</v>
      </c>
      <c r="U44" s="1" t="s">
        <v>208</v>
      </c>
    </row>
    <row r="45" spans="1:21">
      <c r="A45" s="1">
        <v>44</v>
      </c>
      <c r="B45" s="2">
        <v>11</v>
      </c>
      <c r="C45" s="2" t="s">
        <v>122</v>
      </c>
      <c r="D45" s="2" t="s">
        <v>210</v>
      </c>
      <c r="E45" s="6" t="s">
        <v>123</v>
      </c>
      <c r="F45" s="2" t="s">
        <v>26</v>
      </c>
      <c r="H45" s="3">
        <v>0.22361111111111101</v>
      </c>
      <c r="I45" s="3">
        <v>0.29432870370370373</v>
      </c>
      <c r="J45" s="3">
        <f t="shared" si="6"/>
        <v>7.0717592592592721E-2</v>
      </c>
      <c r="K45" s="3">
        <f t="shared" si="7"/>
        <v>3.6689814814814259E-3</v>
      </c>
      <c r="L45" s="4">
        <v>0.29799768518518516</v>
      </c>
      <c r="M45" s="4">
        <v>0.6017245370370371</v>
      </c>
      <c r="N45" s="4">
        <f t="shared" si="8"/>
        <v>0.30372685185185194</v>
      </c>
      <c r="O45" s="4">
        <f t="shared" si="9"/>
        <v>3.2986111111110716E-3</v>
      </c>
      <c r="P45" s="4">
        <v>0.60502314814814817</v>
      </c>
      <c r="Q45" s="4">
        <v>0.81304398148148149</v>
      </c>
      <c r="R45" s="4">
        <f t="shared" si="10"/>
        <v>0.20802083333333332</v>
      </c>
      <c r="S45" s="4"/>
      <c r="T45" s="4">
        <f t="shared" si="11"/>
        <v>0.58943287037037051</v>
      </c>
      <c r="U45" s="1" t="s">
        <v>208</v>
      </c>
    </row>
    <row r="46" spans="1:21">
      <c r="A46" s="1">
        <v>45</v>
      </c>
      <c r="B46" s="2">
        <v>57</v>
      </c>
      <c r="C46" s="2" t="s">
        <v>124</v>
      </c>
      <c r="D46" s="2" t="s">
        <v>210</v>
      </c>
      <c r="E46" s="6" t="s">
        <v>125</v>
      </c>
      <c r="F46" s="2" t="s">
        <v>48</v>
      </c>
      <c r="H46" s="3">
        <v>0.22361111111111101</v>
      </c>
      <c r="I46" s="3">
        <v>0.29421296296296301</v>
      </c>
      <c r="J46" s="3">
        <f t="shared" si="6"/>
        <v>7.0601851851851999E-2</v>
      </c>
      <c r="K46" s="3">
        <f t="shared" si="7"/>
        <v>8.0208333333332549E-3</v>
      </c>
      <c r="L46" s="4">
        <v>0.30223379629629626</v>
      </c>
      <c r="M46" s="4">
        <v>0.59501157407407412</v>
      </c>
      <c r="N46" s="4">
        <f t="shared" si="8"/>
        <v>0.29277777777777786</v>
      </c>
      <c r="O46" s="4">
        <f t="shared" si="9"/>
        <v>4.4907407407406286E-3</v>
      </c>
      <c r="P46" s="4">
        <v>0.59950231481481475</v>
      </c>
      <c r="Q46" s="4">
        <v>0.8149305555555556</v>
      </c>
      <c r="R46" s="4">
        <f t="shared" si="10"/>
        <v>0.21542824074074085</v>
      </c>
      <c r="S46" s="4"/>
      <c r="T46" s="4">
        <f t="shared" si="11"/>
        <v>0.59131944444444462</v>
      </c>
      <c r="U46" s="1" t="s">
        <v>208</v>
      </c>
    </row>
    <row r="47" spans="1:21">
      <c r="A47" s="1">
        <v>46</v>
      </c>
      <c r="B47" s="2">
        <v>16</v>
      </c>
      <c r="C47" s="2" t="s">
        <v>126</v>
      </c>
      <c r="D47" s="2" t="s">
        <v>210</v>
      </c>
      <c r="E47" s="6" t="s">
        <v>127</v>
      </c>
      <c r="F47" s="2" t="s">
        <v>29</v>
      </c>
      <c r="H47" s="3">
        <v>0.22361111111111101</v>
      </c>
      <c r="I47" s="3">
        <v>0.22361111111111101</v>
      </c>
      <c r="J47" s="3">
        <f t="shared" si="6"/>
        <v>0</v>
      </c>
      <c r="K47" s="3">
        <f t="shared" si="7"/>
        <v>0</v>
      </c>
      <c r="L47" s="4">
        <v>0.22361111111111101</v>
      </c>
      <c r="M47" s="4">
        <v>0.22361111111111101</v>
      </c>
      <c r="N47" s="4">
        <f t="shared" si="8"/>
        <v>0</v>
      </c>
      <c r="O47" s="4">
        <f t="shared" si="9"/>
        <v>0</v>
      </c>
      <c r="P47" s="4">
        <v>0.22361111111111101</v>
      </c>
      <c r="Q47" s="4">
        <v>0.81645833333333329</v>
      </c>
      <c r="R47" s="4">
        <f t="shared" si="10"/>
        <v>0.5928472222222223</v>
      </c>
      <c r="S47" s="4"/>
      <c r="T47" s="4">
        <f t="shared" si="11"/>
        <v>0.5928472222222223</v>
      </c>
      <c r="U47" s="1" t="s">
        <v>208</v>
      </c>
    </row>
    <row r="48" spans="1:21">
      <c r="A48" s="1">
        <v>47</v>
      </c>
      <c r="B48" s="2">
        <v>84</v>
      </c>
      <c r="C48" s="2" t="s">
        <v>128</v>
      </c>
      <c r="D48" s="2" t="s">
        <v>210</v>
      </c>
      <c r="E48" s="6" t="s">
        <v>129</v>
      </c>
      <c r="F48" s="2" t="s">
        <v>32</v>
      </c>
      <c r="H48" s="3">
        <v>0.22361111111111101</v>
      </c>
      <c r="I48" s="3">
        <v>0.29700231481481482</v>
      </c>
      <c r="J48" s="3">
        <f t="shared" si="6"/>
        <v>7.3391203703703806E-2</v>
      </c>
      <c r="K48" s="3">
        <f t="shared" si="7"/>
        <v>6.7361111111111094E-3</v>
      </c>
      <c r="L48" s="4">
        <v>0.30373842592592593</v>
      </c>
      <c r="M48" s="4">
        <v>0.57597222222222222</v>
      </c>
      <c r="N48" s="4">
        <f t="shared" si="8"/>
        <v>0.27223379629629629</v>
      </c>
      <c r="O48" s="4">
        <f t="shared" si="9"/>
        <v>8.7962962962963021E-3</v>
      </c>
      <c r="P48" s="4">
        <v>0.58476851851851852</v>
      </c>
      <c r="Q48" s="4">
        <v>0.81703703703703701</v>
      </c>
      <c r="R48" s="4">
        <f t="shared" si="10"/>
        <v>0.23226851851851849</v>
      </c>
      <c r="S48" s="4"/>
      <c r="T48" s="4">
        <f t="shared" si="11"/>
        <v>0.59342592592592602</v>
      </c>
      <c r="U48" s="1" t="s">
        <v>208</v>
      </c>
    </row>
    <row r="49" spans="1:21">
      <c r="A49" s="1">
        <v>48</v>
      </c>
      <c r="B49" s="2">
        <v>25</v>
      </c>
      <c r="C49" s="2" t="s">
        <v>130</v>
      </c>
      <c r="D49" s="2" t="s">
        <v>210</v>
      </c>
      <c r="E49" s="6" t="s">
        <v>131</v>
      </c>
      <c r="F49" s="2" t="s">
        <v>109</v>
      </c>
      <c r="H49" s="3">
        <v>0.22361111111111101</v>
      </c>
      <c r="I49" s="3">
        <v>0.30309027777777781</v>
      </c>
      <c r="J49" s="3">
        <f t="shared" si="6"/>
        <v>7.9479166666666795E-2</v>
      </c>
      <c r="K49" s="3">
        <f t="shared" si="7"/>
        <v>6.7939814814814703E-3</v>
      </c>
      <c r="L49" s="4">
        <v>0.30988425925925928</v>
      </c>
      <c r="M49" s="4">
        <v>0.61611111111111116</v>
      </c>
      <c r="N49" s="4">
        <f t="shared" si="8"/>
        <v>0.30622685185185189</v>
      </c>
      <c r="O49" s="4">
        <f t="shared" si="9"/>
        <v>5.9259259259258901E-3</v>
      </c>
      <c r="P49" s="4">
        <v>0.62203703703703705</v>
      </c>
      <c r="Q49" s="4">
        <v>0.81726851851851856</v>
      </c>
      <c r="R49" s="4">
        <f t="shared" si="10"/>
        <v>0.19523148148148151</v>
      </c>
      <c r="S49" s="4"/>
      <c r="T49" s="4">
        <f t="shared" si="11"/>
        <v>0.59365740740740758</v>
      </c>
      <c r="U49" s="1" t="s">
        <v>208</v>
      </c>
    </row>
    <row r="50" spans="1:21">
      <c r="A50" s="1">
        <v>49</v>
      </c>
      <c r="B50" s="2">
        <v>76</v>
      </c>
      <c r="C50" s="2" t="s">
        <v>132</v>
      </c>
      <c r="D50" s="2" t="s">
        <v>210</v>
      </c>
      <c r="E50" s="6" t="s">
        <v>133</v>
      </c>
      <c r="F50" s="2" t="s">
        <v>32</v>
      </c>
      <c r="H50" s="3">
        <v>0.22361111111111101</v>
      </c>
      <c r="I50" s="3">
        <v>0.2946064814814815</v>
      </c>
      <c r="J50" s="3">
        <f t="shared" si="6"/>
        <v>7.0995370370370486E-2</v>
      </c>
      <c r="K50" s="3">
        <f t="shared" si="7"/>
        <v>2.7835648148148151E-2</v>
      </c>
      <c r="L50" s="4">
        <v>0.32244212962962965</v>
      </c>
      <c r="M50" s="4">
        <v>0.57593749999999999</v>
      </c>
      <c r="N50" s="4">
        <f t="shared" si="8"/>
        <v>0.25349537037037034</v>
      </c>
      <c r="O50" s="4">
        <f t="shared" si="9"/>
        <v>8.8310185185185297E-3</v>
      </c>
      <c r="P50" s="4">
        <v>0.58476851851851852</v>
      </c>
      <c r="Q50" s="4">
        <v>0.81737268518518524</v>
      </c>
      <c r="R50" s="4">
        <f t="shared" si="10"/>
        <v>0.23260416666666672</v>
      </c>
      <c r="S50" s="4"/>
      <c r="T50" s="4">
        <f t="shared" si="11"/>
        <v>0.59376157407407426</v>
      </c>
      <c r="U50" s="1" t="s">
        <v>208</v>
      </c>
    </row>
    <row r="51" spans="1:21">
      <c r="A51" s="1">
        <v>50</v>
      </c>
      <c r="B51" s="2">
        <v>126</v>
      </c>
      <c r="C51" s="2" t="s">
        <v>134</v>
      </c>
      <c r="D51" s="2" t="s">
        <v>210</v>
      </c>
      <c r="E51" s="6" t="s">
        <v>135</v>
      </c>
      <c r="F51" s="2" t="s">
        <v>38</v>
      </c>
      <c r="H51" s="3">
        <v>0.22361111111111101</v>
      </c>
      <c r="I51" s="3">
        <v>0.30333333333333334</v>
      </c>
      <c r="J51" s="3">
        <f t="shared" si="6"/>
        <v>7.9722222222222333E-2</v>
      </c>
      <c r="K51" s="3">
        <f t="shared" si="7"/>
        <v>6.423611111111116E-3</v>
      </c>
      <c r="L51" s="4">
        <v>0.30975694444444446</v>
      </c>
      <c r="M51" s="4">
        <v>0.60218749999999999</v>
      </c>
      <c r="N51" s="4">
        <f t="shared" si="8"/>
        <v>0.29243055555555553</v>
      </c>
      <c r="O51" s="4">
        <f t="shared" si="9"/>
        <v>2.0370370370370594E-3</v>
      </c>
      <c r="P51" s="4">
        <v>0.60422453703703705</v>
      </c>
      <c r="Q51" s="4">
        <v>0.81765046296296295</v>
      </c>
      <c r="R51" s="4">
        <f t="shared" si="10"/>
        <v>0.21342592592592591</v>
      </c>
      <c r="S51" s="4"/>
      <c r="T51" s="4">
        <f t="shared" si="11"/>
        <v>0.59403935185185197</v>
      </c>
      <c r="U51" s="1" t="s">
        <v>208</v>
      </c>
    </row>
    <row r="52" spans="1:21">
      <c r="A52" s="1">
        <v>51</v>
      </c>
      <c r="B52" s="2">
        <v>74</v>
      </c>
      <c r="C52" s="2" t="s">
        <v>136</v>
      </c>
      <c r="D52" s="2" t="s">
        <v>210</v>
      </c>
      <c r="E52" s="6" t="s">
        <v>137</v>
      </c>
      <c r="F52" s="2" t="s">
        <v>32</v>
      </c>
      <c r="H52" s="3">
        <v>0.22361111111111101</v>
      </c>
      <c r="I52" s="3">
        <v>0.2958796296296296</v>
      </c>
      <c r="J52" s="3">
        <f t="shared" si="6"/>
        <v>7.2268518518518593E-2</v>
      </c>
      <c r="K52" s="3">
        <f t="shared" si="7"/>
        <v>5.5208333333333637E-3</v>
      </c>
      <c r="L52" s="4">
        <v>0.30140046296296297</v>
      </c>
      <c r="M52" s="4">
        <v>0.59064814814814814</v>
      </c>
      <c r="N52" s="4">
        <f t="shared" si="8"/>
        <v>0.28924768518518518</v>
      </c>
      <c r="O52" s="4">
        <f t="shared" si="9"/>
        <v>4.3981481481480955E-3</v>
      </c>
      <c r="P52" s="4">
        <v>0.59504629629629624</v>
      </c>
      <c r="Q52" s="4">
        <v>0.81847222222222227</v>
      </c>
      <c r="R52" s="4">
        <f t="shared" si="10"/>
        <v>0.22342592592592603</v>
      </c>
      <c r="S52" s="4"/>
      <c r="T52" s="4">
        <f t="shared" si="11"/>
        <v>0.59486111111111128</v>
      </c>
      <c r="U52" s="1" t="s">
        <v>208</v>
      </c>
    </row>
    <row r="53" spans="1:21">
      <c r="A53" s="1">
        <v>52</v>
      </c>
      <c r="B53" s="2">
        <v>43</v>
      </c>
      <c r="C53" s="2" t="s">
        <v>138</v>
      </c>
      <c r="D53" s="2" t="s">
        <v>210</v>
      </c>
      <c r="E53" s="6" t="s">
        <v>139</v>
      </c>
      <c r="F53" s="2" t="s">
        <v>140</v>
      </c>
      <c r="H53" s="3">
        <v>0.22361111111111101</v>
      </c>
      <c r="I53" s="3">
        <v>0.29559027777777774</v>
      </c>
      <c r="J53" s="3">
        <f t="shared" si="6"/>
        <v>7.1979166666666733E-2</v>
      </c>
      <c r="K53" s="3">
        <f t="shared" si="7"/>
        <v>6.8171296296296591E-3</v>
      </c>
      <c r="L53" s="4">
        <v>0.3024074074074074</v>
      </c>
      <c r="M53" s="4">
        <v>0.60159722222222223</v>
      </c>
      <c r="N53" s="4">
        <f t="shared" si="8"/>
        <v>0.29918981481481483</v>
      </c>
      <c r="O53" s="4">
        <f t="shared" si="9"/>
        <v>4.9074074074073604E-3</v>
      </c>
      <c r="P53" s="4">
        <v>0.60650462962962959</v>
      </c>
      <c r="Q53" s="4">
        <v>0.81917824074074075</v>
      </c>
      <c r="R53" s="4">
        <f t="shared" si="10"/>
        <v>0.21267361111111116</v>
      </c>
      <c r="S53" s="4"/>
      <c r="T53" s="4">
        <f t="shared" si="11"/>
        <v>0.59556712962962977</v>
      </c>
      <c r="U53" s="1" t="s">
        <v>208</v>
      </c>
    </row>
    <row r="54" spans="1:21">
      <c r="A54" s="1">
        <v>53</v>
      </c>
      <c r="B54" s="2">
        <v>114</v>
      </c>
      <c r="C54" s="2" t="s">
        <v>141</v>
      </c>
      <c r="D54" s="2" t="s">
        <v>210</v>
      </c>
      <c r="E54" s="6" t="s">
        <v>142</v>
      </c>
      <c r="F54" s="2" t="s">
        <v>143</v>
      </c>
      <c r="H54" s="3">
        <v>0.22361111111111101</v>
      </c>
      <c r="I54" s="3">
        <v>0.29956018518518518</v>
      </c>
      <c r="J54" s="3">
        <f t="shared" si="6"/>
        <v>7.5949074074074169E-2</v>
      </c>
      <c r="K54" s="3">
        <f t="shared" si="7"/>
        <v>5.787037037037035E-3</v>
      </c>
      <c r="L54" s="4">
        <v>0.30534722222222221</v>
      </c>
      <c r="M54" s="4">
        <v>0.59283564814814815</v>
      </c>
      <c r="N54" s="4">
        <f t="shared" si="8"/>
        <v>0.28748842592592594</v>
      </c>
      <c r="O54" s="4">
        <f t="shared" si="9"/>
        <v>2.6041666666666297E-3</v>
      </c>
      <c r="P54" s="4">
        <v>0.59543981481481478</v>
      </c>
      <c r="Q54" s="4">
        <v>0.81947916666666665</v>
      </c>
      <c r="R54" s="4">
        <f t="shared" si="10"/>
        <v>0.22403935185185186</v>
      </c>
      <c r="S54" s="4"/>
      <c r="T54" s="4">
        <f t="shared" si="11"/>
        <v>0.59586805555555566</v>
      </c>
      <c r="U54" s="1" t="s">
        <v>208</v>
      </c>
    </row>
    <row r="55" spans="1:21">
      <c r="A55" s="1">
        <v>54</v>
      </c>
      <c r="B55" s="2">
        <v>31</v>
      </c>
      <c r="C55" s="2" t="s">
        <v>144</v>
      </c>
      <c r="D55" s="2" t="s">
        <v>210</v>
      </c>
      <c r="E55" s="6" t="s">
        <v>145</v>
      </c>
      <c r="F55" s="2" t="s">
        <v>86</v>
      </c>
      <c r="H55" s="3">
        <v>0.22361111111111101</v>
      </c>
      <c r="I55" s="3">
        <v>0.27888888888888891</v>
      </c>
      <c r="J55" s="3">
        <f t="shared" si="6"/>
        <v>5.5277777777777898E-2</v>
      </c>
      <c r="K55" s="3">
        <f t="shared" si="7"/>
        <v>5.4513888888888529E-3</v>
      </c>
      <c r="L55" s="4">
        <v>0.28434027777777776</v>
      </c>
      <c r="M55" s="4">
        <v>0.57425925925925925</v>
      </c>
      <c r="N55" s="4">
        <f t="shared" si="8"/>
        <v>0.28991898148148149</v>
      </c>
      <c r="O55" s="4">
        <f t="shared" si="9"/>
        <v>7.3032407407407351E-3</v>
      </c>
      <c r="P55" s="4">
        <v>0.58156249999999998</v>
      </c>
      <c r="Q55" s="4">
        <v>0.8197916666666667</v>
      </c>
      <c r="R55" s="4">
        <f t="shared" si="10"/>
        <v>0.23822916666666671</v>
      </c>
      <c r="S55" s="4"/>
      <c r="T55" s="4">
        <f t="shared" si="11"/>
        <v>0.59618055555555571</v>
      </c>
      <c r="U55" s="1" t="s">
        <v>208</v>
      </c>
    </row>
    <row r="56" spans="1:21">
      <c r="A56" s="1">
        <v>55</v>
      </c>
      <c r="B56" s="2">
        <v>87</v>
      </c>
      <c r="C56" s="2" t="s">
        <v>146</v>
      </c>
      <c r="D56" s="2" t="s">
        <v>210</v>
      </c>
      <c r="E56" s="6" t="s">
        <v>147</v>
      </c>
      <c r="F56" s="2" t="s">
        <v>114</v>
      </c>
      <c r="H56" s="3">
        <v>0.22361111111111101</v>
      </c>
      <c r="I56" s="3">
        <v>0.29217592592592595</v>
      </c>
      <c r="J56" s="3">
        <f t="shared" si="6"/>
        <v>6.8564814814814939E-2</v>
      </c>
      <c r="K56" s="3">
        <f t="shared" si="7"/>
        <v>5.63657407407403E-3</v>
      </c>
      <c r="L56" s="4">
        <v>0.29781249999999998</v>
      </c>
      <c r="M56" s="4">
        <v>0.58168981481481474</v>
      </c>
      <c r="N56" s="4">
        <f t="shared" si="8"/>
        <v>0.28387731481481476</v>
      </c>
      <c r="O56" s="4">
        <f t="shared" si="9"/>
        <v>3.8425925925926752E-3</v>
      </c>
      <c r="P56" s="4">
        <v>0.58553240740740742</v>
      </c>
      <c r="Q56" s="4">
        <v>0.82195601851851852</v>
      </c>
      <c r="R56" s="4">
        <f t="shared" si="10"/>
        <v>0.2364236111111111</v>
      </c>
      <c r="S56" s="4"/>
      <c r="T56" s="4">
        <f t="shared" si="11"/>
        <v>0.59834490740740753</v>
      </c>
      <c r="U56" s="1" t="s">
        <v>208</v>
      </c>
    </row>
    <row r="57" spans="1:21">
      <c r="A57" s="1">
        <v>56</v>
      </c>
      <c r="B57" s="2">
        <v>23</v>
      </c>
      <c r="C57" s="2" t="s">
        <v>148</v>
      </c>
      <c r="D57" s="2" t="s">
        <v>210</v>
      </c>
      <c r="E57" s="6" t="s">
        <v>149</v>
      </c>
      <c r="F57" s="2" t="s">
        <v>150</v>
      </c>
      <c r="H57" s="3">
        <v>0.22361111111111101</v>
      </c>
      <c r="I57" s="3">
        <v>0.29538194444444443</v>
      </c>
      <c r="J57" s="3">
        <f t="shared" si="6"/>
        <v>7.1770833333333423E-2</v>
      </c>
      <c r="K57" s="3">
        <f t="shared" si="7"/>
        <v>5.4166666666666807E-3</v>
      </c>
      <c r="L57" s="4">
        <v>0.30079861111111111</v>
      </c>
      <c r="M57" s="4">
        <v>0.60435185185185192</v>
      </c>
      <c r="N57" s="4">
        <f t="shared" si="8"/>
        <v>0.3035532407407408</v>
      </c>
      <c r="O57" s="4">
        <f t="shared" si="9"/>
        <v>6.2499999999987566E-4</v>
      </c>
      <c r="P57" s="4">
        <v>0.60497685185185179</v>
      </c>
      <c r="Q57" s="4">
        <v>0.82327546296296295</v>
      </c>
      <c r="R57" s="4">
        <f t="shared" si="10"/>
        <v>0.21829861111111115</v>
      </c>
      <c r="S57" s="4"/>
      <c r="T57" s="4">
        <f t="shared" si="11"/>
        <v>0.59966435185185196</v>
      </c>
      <c r="U57" s="1" t="s">
        <v>208</v>
      </c>
    </row>
    <row r="58" spans="1:21">
      <c r="A58" s="1">
        <v>57</v>
      </c>
      <c r="B58" s="2">
        <v>123</v>
      </c>
      <c r="C58" s="2" t="s">
        <v>151</v>
      </c>
      <c r="D58" s="2" t="s">
        <v>210</v>
      </c>
      <c r="E58" s="6" t="s">
        <v>152</v>
      </c>
      <c r="F58" s="2" t="s">
        <v>41</v>
      </c>
      <c r="H58" s="3">
        <v>0.22361111111111101</v>
      </c>
      <c r="I58" s="3">
        <v>0.29935185185185187</v>
      </c>
      <c r="J58" s="3">
        <f t="shared" si="6"/>
        <v>7.5740740740740858E-2</v>
      </c>
      <c r="K58" s="3">
        <f t="shared" si="7"/>
        <v>6.0416666666666674E-3</v>
      </c>
      <c r="L58" s="4">
        <v>0.30539351851851854</v>
      </c>
      <c r="M58" s="4">
        <v>0.54201388888888891</v>
      </c>
      <c r="N58" s="4">
        <f t="shared" si="8"/>
        <v>0.23662037037037037</v>
      </c>
      <c r="O58" s="4">
        <f t="shared" si="9"/>
        <v>0</v>
      </c>
      <c r="P58" s="4">
        <v>0.54201388888888902</v>
      </c>
      <c r="Q58" s="4">
        <v>0.82814814814814808</v>
      </c>
      <c r="R58" s="4">
        <f t="shared" si="10"/>
        <v>0.28613425925925906</v>
      </c>
      <c r="S58" s="4"/>
      <c r="T58" s="4">
        <f t="shared" si="11"/>
        <v>0.60453703703703698</v>
      </c>
    </row>
    <row r="59" spans="1:21">
      <c r="A59" s="1">
        <v>58</v>
      </c>
      <c r="B59" s="2">
        <v>82</v>
      </c>
      <c r="C59" s="2" t="s">
        <v>153</v>
      </c>
      <c r="D59" s="2" t="s">
        <v>210</v>
      </c>
      <c r="E59" s="6" t="s">
        <v>154</v>
      </c>
      <c r="F59" s="2" t="s">
        <v>140</v>
      </c>
      <c r="H59" s="3">
        <v>0.22361111111111101</v>
      </c>
      <c r="I59" s="3">
        <v>0.2981712962962963</v>
      </c>
      <c r="J59" s="3">
        <f t="shared" si="6"/>
        <v>7.4560185185185285E-2</v>
      </c>
      <c r="K59" s="3">
        <f t="shared" si="7"/>
        <v>5.5092592592592693E-3</v>
      </c>
      <c r="L59" s="4">
        <v>0.30368055555555556</v>
      </c>
      <c r="M59" s="4">
        <v>0.61828703703703702</v>
      </c>
      <c r="N59" s="4">
        <f t="shared" si="8"/>
        <v>0.31460648148148146</v>
      </c>
      <c r="O59" s="4">
        <f t="shared" si="9"/>
        <v>3.8773148148147918E-3</v>
      </c>
      <c r="P59" s="4">
        <v>0.62216435185185182</v>
      </c>
      <c r="Q59" s="4">
        <v>0.8288078703703704</v>
      </c>
      <c r="R59" s="4">
        <f t="shared" si="10"/>
        <v>0.20664351851851859</v>
      </c>
      <c r="S59" s="4"/>
      <c r="T59" s="4">
        <f t="shared" si="11"/>
        <v>0.60519675925925942</v>
      </c>
    </row>
    <row r="60" spans="1:21">
      <c r="A60" s="1">
        <v>59</v>
      </c>
      <c r="B60" s="2">
        <v>113</v>
      </c>
      <c r="C60" s="2" t="s">
        <v>155</v>
      </c>
      <c r="D60" s="2" t="s">
        <v>210</v>
      </c>
      <c r="E60" s="6" t="s">
        <v>156</v>
      </c>
      <c r="F60" s="2" t="s">
        <v>38</v>
      </c>
      <c r="H60" s="3">
        <v>0.22361111111111101</v>
      </c>
      <c r="I60" s="3">
        <v>0.29421296296296295</v>
      </c>
      <c r="J60" s="3">
        <f t="shared" si="6"/>
        <v>7.0601851851851943E-2</v>
      </c>
      <c r="K60" s="3">
        <f t="shared" si="7"/>
        <v>1.3495370370370352E-2</v>
      </c>
      <c r="L60" s="4">
        <v>0.30770833333333331</v>
      </c>
      <c r="M60" s="4">
        <v>0.60151620370370373</v>
      </c>
      <c r="N60" s="4">
        <f t="shared" si="8"/>
        <v>0.29380787037037043</v>
      </c>
      <c r="O60" s="4">
        <f t="shared" si="9"/>
        <v>4.8495370370369439E-3</v>
      </c>
      <c r="P60" s="4">
        <v>0.60636574074074068</v>
      </c>
      <c r="Q60" s="4">
        <v>0.83425925925925926</v>
      </c>
      <c r="R60" s="4">
        <f t="shared" si="10"/>
        <v>0.22789351851851858</v>
      </c>
      <c r="S60" s="4"/>
      <c r="T60" s="4">
        <f t="shared" si="11"/>
        <v>0.61064814814814827</v>
      </c>
    </row>
    <row r="61" spans="1:21">
      <c r="A61" s="1">
        <v>60</v>
      </c>
      <c r="B61" s="2">
        <v>117</v>
      </c>
      <c r="C61" s="2" t="s">
        <v>157</v>
      </c>
      <c r="D61" s="2" t="s">
        <v>210</v>
      </c>
      <c r="E61" s="6" t="s">
        <v>158</v>
      </c>
      <c r="F61" s="2" t="s">
        <v>143</v>
      </c>
      <c r="H61" s="3">
        <v>0.22361111111111101</v>
      </c>
      <c r="I61" s="3">
        <v>0.29063657407407406</v>
      </c>
      <c r="J61" s="3">
        <f t="shared" si="6"/>
        <v>6.7025462962963051E-2</v>
      </c>
      <c r="K61" s="3">
        <f t="shared" si="7"/>
        <v>4.745370370370372E-3</v>
      </c>
      <c r="L61" s="4">
        <v>0.29538194444444443</v>
      </c>
      <c r="M61" s="4">
        <v>0.58473379629629629</v>
      </c>
      <c r="N61" s="4">
        <f t="shared" si="8"/>
        <v>0.28935185185185186</v>
      </c>
      <c r="O61" s="4">
        <f t="shared" si="9"/>
        <v>5.63657407407403E-3</v>
      </c>
      <c r="P61" s="4">
        <v>0.59037037037037032</v>
      </c>
      <c r="Q61" s="4">
        <v>0.83574074074074067</v>
      </c>
      <c r="R61" s="4">
        <f t="shared" si="10"/>
        <v>0.24537037037037035</v>
      </c>
      <c r="S61" s="4"/>
      <c r="T61" s="4">
        <f t="shared" si="11"/>
        <v>0.61212962962962969</v>
      </c>
    </row>
    <row r="62" spans="1:21">
      <c r="A62" s="1">
        <v>61</v>
      </c>
      <c r="B62" s="2">
        <v>99</v>
      </c>
      <c r="C62" s="2" t="s">
        <v>159</v>
      </c>
      <c r="D62" s="2" t="s">
        <v>210</v>
      </c>
      <c r="E62" s="6" t="s">
        <v>160</v>
      </c>
      <c r="F62" s="2" t="s">
        <v>41</v>
      </c>
      <c r="H62" s="3">
        <v>0.22361111111111101</v>
      </c>
      <c r="I62" s="3">
        <v>0.2902777777777778</v>
      </c>
      <c r="J62" s="3">
        <f t="shared" si="6"/>
        <v>6.6666666666666791E-2</v>
      </c>
      <c r="K62" s="3">
        <f t="shared" si="7"/>
        <v>7.4652777777777235E-3</v>
      </c>
      <c r="L62" s="4">
        <v>0.29774305555555552</v>
      </c>
      <c r="M62" s="4">
        <v>0.62313657407407408</v>
      </c>
      <c r="N62" s="4">
        <f t="shared" si="8"/>
        <v>0.32539351851851855</v>
      </c>
      <c r="O62" s="4">
        <f t="shared" si="9"/>
        <v>1.481481481481417E-3</v>
      </c>
      <c r="P62" s="4">
        <v>0.6246180555555555</v>
      </c>
      <c r="Q62" s="4">
        <v>0.83609953703703699</v>
      </c>
      <c r="R62" s="4">
        <f t="shared" si="10"/>
        <v>0.21148148148148149</v>
      </c>
      <c r="S62" s="4"/>
      <c r="T62" s="4">
        <f t="shared" si="11"/>
        <v>0.61248842592592601</v>
      </c>
    </row>
    <row r="63" spans="1:21">
      <c r="A63" s="1">
        <v>62</v>
      </c>
      <c r="B63" s="2">
        <v>108</v>
      </c>
      <c r="C63" s="2" t="s">
        <v>224</v>
      </c>
      <c r="D63" s="2" t="s">
        <v>210</v>
      </c>
      <c r="E63" s="6" t="s">
        <v>225</v>
      </c>
      <c r="F63" s="2" t="s">
        <v>29</v>
      </c>
      <c r="H63" s="3">
        <v>0.22361111111111101</v>
      </c>
      <c r="I63" s="3">
        <v>0.29887731481481483</v>
      </c>
      <c r="J63" s="3">
        <f t="shared" si="6"/>
        <v>7.5266203703703821E-2</v>
      </c>
      <c r="K63" s="3">
        <f t="shared" si="7"/>
        <v>6.5972222222221988E-3</v>
      </c>
      <c r="L63" s="4">
        <v>0.30547453703703703</v>
      </c>
      <c r="M63" s="4">
        <v>0.62640046296296303</v>
      </c>
      <c r="N63" s="4">
        <f t="shared" si="8"/>
        <v>0.320925925925926</v>
      </c>
      <c r="O63" s="4">
        <f t="shared" si="9"/>
        <v>6.8865740740740033E-3</v>
      </c>
      <c r="P63" s="4">
        <v>0.63328703703703704</v>
      </c>
      <c r="Q63" s="4">
        <v>0.8377430555555555</v>
      </c>
      <c r="R63" s="4">
        <f t="shared" si="10"/>
        <v>0.20445601851851847</v>
      </c>
      <c r="S63" s="4"/>
      <c r="T63" s="4">
        <f t="shared" si="11"/>
        <v>0.61413194444444452</v>
      </c>
    </row>
    <row r="64" spans="1:21">
      <c r="A64" s="1">
        <v>63</v>
      </c>
      <c r="B64" s="2">
        <v>18</v>
      </c>
      <c r="C64" s="2" t="s">
        <v>161</v>
      </c>
      <c r="D64" s="2" t="s">
        <v>210</v>
      </c>
      <c r="E64" s="6" t="s">
        <v>162</v>
      </c>
      <c r="F64" s="2" t="s">
        <v>29</v>
      </c>
      <c r="H64" s="3">
        <v>0.22361111111111101</v>
      </c>
      <c r="I64" s="3">
        <v>0.29453703703703704</v>
      </c>
      <c r="J64" s="3">
        <f t="shared" si="6"/>
        <v>7.0925925925926031E-2</v>
      </c>
      <c r="K64" s="3">
        <f t="shared" si="7"/>
        <v>5.7407407407407685E-3</v>
      </c>
      <c r="L64" s="4">
        <v>0.30027777777777781</v>
      </c>
      <c r="M64" s="4">
        <v>0.6029282407407407</v>
      </c>
      <c r="N64" s="4">
        <f t="shared" si="8"/>
        <v>0.30265046296296289</v>
      </c>
      <c r="O64" s="4">
        <f t="shared" si="9"/>
        <v>2.280092592592653E-3</v>
      </c>
      <c r="P64" s="4">
        <v>0.60520833333333335</v>
      </c>
      <c r="Q64" s="4">
        <v>0.83876157407407403</v>
      </c>
      <c r="R64" s="4">
        <f t="shared" si="10"/>
        <v>0.23355324074074069</v>
      </c>
      <c r="S64" s="4"/>
      <c r="T64" s="4">
        <f t="shared" si="11"/>
        <v>0.61515046296296305</v>
      </c>
    </row>
    <row r="65" spans="1:20">
      <c r="A65" s="1">
        <v>64</v>
      </c>
      <c r="B65" s="2">
        <v>36</v>
      </c>
      <c r="C65" s="2" t="s">
        <v>42</v>
      </c>
      <c r="D65" s="2" t="s">
        <v>210</v>
      </c>
      <c r="E65" s="6" t="s">
        <v>163</v>
      </c>
      <c r="F65" s="2" t="s">
        <v>164</v>
      </c>
      <c r="H65" s="3">
        <v>0.22361111111111101</v>
      </c>
      <c r="I65" s="3">
        <v>0.29851851851851852</v>
      </c>
      <c r="J65" s="3">
        <f t="shared" si="6"/>
        <v>7.4907407407407506E-2</v>
      </c>
      <c r="K65" s="3">
        <f t="shared" si="7"/>
        <v>0</v>
      </c>
      <c r="L65" s="4">
        <v>0.29851851851851852</v>
      </c>
      <c r="M65" s="4">
        <v>0.60131944444444441</v>
      </c>
      <c r="N65" s="4">
        <f t="shared" si="8"/>
        <v>0.30280092592592589</v>
      </c>
      <c r="O65" s="4">
        <f t="shared" si="9"/>
        <v>-0.60131944444444441</v>
      </c>
      <c r="P65" s="4"/>
      <c r="Q65" s="4">
        <v>0.8419212962962962</v>
      </c>
      <c r="R65" s="4">
        <f t="shared" si="10"/>
        <v>0.8419212962962962</v>
      </c>
      <c r="S65" s="4"/>
      <c r="T65" s="4">
        <f t="shared" si="11"/>
        <v>0.61831018518518521</v>
      </c>
    </row>
    <row r="66" spans="1:20">
      <c r="A66" s="1">
        <v>65</v>
      </c>
      <c r="B66" s="2">
        <v>8</v>
      </c>
      <c r="C66" s="2" t="s">
        <v>35</v>
      </c>
      <c r="D66" s="2" t="s">
        <v>210</v>
      </c>
      <c r="E66" s="6" t="s">
        <v>165</v>
      </c>
      <c r="F66" s="2" t="s">
        <v>32</v>
      </c>
      <c r="H66" s="3">
        <v>0.22361111111111101</v>
      </c>
      <c r="I66" s="3">
        <v>0.29152777777777777</v>
      </c>
      <c r="J66" s="3">
        <f t="shared" si="6"/>
        <v>6.7916666666666764E-2</v>
      </c>
      <c r="K66" s="3">
        <f t="shared" si="7"/>
        <v>9.5601851851851993E-3</v>
      </c>
      <c r="L66" s="4">
        <v>0.30108796296296297</v>
      </c>
      <c r="M66" s="4">
        <v>0.61775462962962957</v>
      </c>
      <c r="N66" s="4">
        <f t="shared" si="8"/>
        <v>0.3166666666666666</v>
      </c>
      <c r="O66" s="4">
        <f t="shared" si="9"/>
        <v>-0.61775462962962957</v>
      </c>
      <c r="P66" s="4"/>
      <c r="Q66" s="4">
        <v>0.8423842592592593</v>
      </c>
      <c r="R66" s="4">
        <f t="shared" si="10"/>
        <v>0.8423842592592593</v>
      </c>
      <c r="S66" s="4"/>
      <c r="T66" s="4">
        <f t="shared" si="11"/>
        <v>0.61877314814814832</v>
      </c>
    </row>
    <row r="67" spans="1:20">
      <c r="A67" s="1">
        <v>66</v>
      </c>
      <c r="B67" s="2">
        <v>61</v>
      </c>
      <c r="C67" s="2" t="s">
        <v>45</v>
      </c>
      <c r="D67" s="2" t="s">
        <v>210</v>
      </c>
      <c r="E67" s="6" t="s">
        <v>166</v>
      </c>
      <c r="F67" s="2" t="s">
        <v>48</v>
      </c>
      <c r="H67" s="3">
        <v>0.22361111111111101</v>
      </c>
      <c r="I67" s="3">
        <v>0.30230324074074072</v>
      </c>
      <c r="J67" s="3">
        <f t="shared" ref="J67:J96" si="18">I67-H67</f>
        <v>7.8692129629629709E-2</v>
      </c>
      <c r="K67" s="3">
        <f t="shared" ref="K67:K96" si="19">L67-I67</f>
        <v>7.7430555555555447E-3</v>
      </c>
      <c r="L67" s="4">
        <v>0.31004629629629626</v>
      </c>
      <c r="M67" s="4">
        <v>0.61717592592592596</v>
      </c>
      <c r="N67" s="4">
        <f t="shared" ref="N67:N96" si="20">M67-L67</f>
        <v>0.3071296296296297</v>
      </c>
      <c r="O67" s="4">
        <f t="shared" ref="O67:O96" si="21">P67-M67</f>
        <v>-0.61717592592592596</v>
      </c>
      <c r="P67" s="4"/>
      <c r="Q67" s="4">
        <v>0.84578703703703706</v>
      </c>
      <c r="R67" s="4">
        <f t="shared" ref="R67:R96" si="22">Q67-P67</f>
        <v>0.84578703703703706</v>
      </c>
      <c r="S67" s="4"/>
      <c r="T67" s="4">
        <f t="shared" ref="T67:T96" si="23">J67+K67+N67+O67+R67</f>
        <v>0.62217592592592608</v>
      </c>
    </row>
    <row r="68" spans="1:20">
      <c r="A68" s="1">
        <v>67</v>
      </c>
      <c r="B68" s="2">
        <v>107</v>
      </c>
      <c r="C68" s="2" t="s">
        <v>167</v>
      </c>
      <c r="D68" s="2" t="s">
        <v>210</v>
      </c>
      <c r="E68" s="6" t="s">
        <v>168</v>
      </c>
      <c r="F68" s="2" t="s">
        <v>48</v>
      </c>
      <c r="H68" s="3">
        <v>0.22361111111111101</v>
      </c>
      <c r="I68" s="3">
        <v>0.30202546296296295</v>
      </c>
      <c r="J68" s="3">
        <f t="shared" si="18"/>
        <v>7.8414351851851943E-2</v>
      </c>
      <c r="K68" s="3">
        <f t="shared" si="19"/>
        <v>1.0092592592592597E-2</v>
      </c>
      <c r="L68" s="4">
        <v>0.31211805555555555</v>
      </c>
      <c r="M68" s="4">
        <v>0.62356481481481485</v>
      </c>
      <c r="N68" s="4">
        <f t="shared" si="20"/>
        <v>0.3114467592592593</v>
      </c>
      <c r="O68" s="4">
        <f t="shared" si="21"/>
        <v>1.8136574074073986E-2</v>
      </c>
      <c r="P68" s="4">
        <v>0.64170138888888884</v>
      </c>
      <c r="Q68" s="4">
        <v>0.84578703703703706</v>
      </c>
      <c r="R68" s="4">
        <f t="shared" si="22"/>
        <v>0.20408564814814822</v>
      </c>
      <c r="S68" s="4"/>
      <c r="T68" s="4">
        <f t="shared" si="23"/>
        <v>0.62217592592592608</v>
      </c>
    </row>
    <row r="69" spans="1:20">
      <c r="A69" s="1">
        <v>68</v>
      </c>
      <c r="B69" s="2">
        <v>106</v>
      </c>
      <c r="C69" s="2" t="s">
        <v>169</v>
      </c>
      <c r="D69" s="2" t="s">
        <v>210</v>
      </c>
      <c r="E69" s="6" t="s">
        <v>170</v>
      </c>
      <c r="F69" s="2" t="s">
        <v>38</v>
      </c>
      <c r="H69" s="3">
        <v>0.22361111111111101</v>
      </c>
      <c r="I69" s="3">
        <v>0.30570601851851853</v>
      </c>
      <c r="J69" s="3">
        <f t="shared" si="18"/>
        <v>8.2094907407407519E-2</v>
      </c>
      <c r="K69" s="3">
        <f t="shared" si="19"/>
        <v>7.6273148148147674E-3</v>
      </c>
      <c r="L69" s="4">
        <v>0.3133333333333333</v>
      </c>
      <c r="M69" s="4">
        <v>0.62429398148148152</v>
      </c>
      <c r="N69" s="4">
        <f t="shared" si="20"/>
        <v>0.31096064814814822</v>
      </c>
      <c r="O69" s="4">
        <f t="shared" si="21"/>
        <v>1.08449074074074E-2</v>
      </c>
      <c r="P69" s="4">
        <v>0.63513888888888892</v>
      </c>
      <c r="Q69" s="4">
        <v>0.84611111111111104</v>
      </c>
      <c r="R69" s="4">
        <f t="shared" si="22"/>
        <v>0.21097222222222212</v>
      </c>
      <c r="S69" s="4"/>
      <c r="T69" s="4">
        <f t="shared" si="23"/>
        <v>0.62250000000000005</v>
      </c>
    </row>
    <row r="70" spans="1:20">
      <c r="A70" s="1">
        <v>69</v>
      </c>
      <c r="B70" s="2">
        <v>72</v>
      </c>
      <c r="C70" s="2" t="s">
        <v>171</v>
      </c>
      <c r="D70" s="2" t="s">
        <v>210</v>
      </c>
      <c r="E70" s="6" t="s">
        <v>172</v>
      </c>
      <c r="F70" s="2" t="s">
        <v>38</v>
      </c>
      <c r="H70" s="3">
        <v>0.22361111111111101</v>
      </c>
      <c r="I70" s="3">
        <v>0.30190972222222223</v>
      </c>
      <c r="J70" s="3">
        <f t="shared" si="18"/>
        <v>7.8298611111111222E-2</v>
      </c>
      <c r="K70" s="3">
        <f t="shared" si="19"/>
        <v>5.9374999999999845E-3</v>
      </c>
      <c r="L70" s="4">
        <v>0.30784722222222222</v>
      </c>
      <c r="M70" s="4">
        <v>0.62564814814814818</v>
      </c>
      <c r="N70" s="4">
        <f t="shared" si="20"/>
        <v>0.31780092592592596</v>
      </c>
      <c r="O70" s="4">
        <f t="shared" si="21"/>
        <v>2.2800925925925419E-3</v>
      </c>
      <c r="P70" s="4">
        <v>0.62792824074074072</v>
      </c>
      <c r="Q70" s="4">
        <v>0.84888888888888892</v>
      </c>
      <c r="R70" s="4">
        <f t="shared" si="22"/>
        <v>0.2209606481481482</v>
      </c>
      <c r="S70" s="4"/>
      <c r="T70" s="4">
        <f t="shared" si="23"/>
        <v>0.62527777777777793</v>
      </c>
    </row>
    <row r="71" spans="1:20">
      <c r="A71" s="1">
        <v>70</v>
      </c>
      <c r="B71" s="2">
        <v>62</v>
      </c>
      <c r="C71" s="2" t="s">
        <v>173</v>
      </c>
      <c r="D71" s="2" t="s">
        <v>210</v>
      </c>
      <c r="E71" s="6" t="s">
        <v>174</v>
      </c>
      <c r="F71" s="2" t="s">
        <v>25</v>
      </c>
      <c r="H71" s="3">
        <v>0.22361111111111101</v>
      </c>
      <c r="I71" s="3">
        <v>0.29581018518518515</v>
      </c>
      <c r="J71" s="3">
        <f t="shared" si="18"/>
        <v>7.2199074074074138E-2</v>
      </c>
      <c r="K71" s="3">
        <f t="shared" si="19"/>
        <v>7.3611111111111516E-3</v>
      </c>
      <c r="L71" s="4">
        <v>0.3031712962962963</v>
      </c>
      <c r="M71" s="4">
        <v>0.62859953703703708</v>
      </c>
      <c r="N71" s="4">
        <f t="shared" si="20"/>
        <v>0.32542824074074078</v>
      </c>
      <c r="O71" s="4">
        <f t="shared" si="21"/>
        <v>9.9537037037034093E-4</v>
      </c>
      <c r="P71" s="4">
        <v>0.62959490740740742</v>
      </c>
      <c r="Q71" s="4">
        <v>0.84898148148148145</v>
      </c>
      <c r="R71" s="4">
        <f t="shared" si="22"/>
        <v>0.21938657407407403</v>
      </c>
      <c r="S71" s="4"/>
      <c r="T71" s="4">
        <f t="shared" si="23"/>
        <v>0.62537037037037047</v>
      </c>
    </row>
    <row r="72" spans="1:20">
      <c r="A72" s="1">
        <v>71</v>
      </c>
      <c r="B72" s="2">
        <v>505</v>
      </c>
      <c r="C72" s="2" t="s">
        <v>175</v>
      </c>
      <c r="D72" s="2" t="s">
        <v>217</v>
      </c>
      <c r="E72" s="6" t="s">
        <v>175</v>
      </c>
      <c r="F72" s="2" t="s">
        <v>32</v>
      </c>
      <c r="H72" s="3">
        <v>0.22361111111111101</v>
      </c>
      <c r="I72" s="3">
        <v>0.30862268518518515</v>
      </c>
      <c r="J72" s="3">
        <f t="shared" si="18"/>
        <v>8.5011574074074142E-2</v>
      </c>
      <c r="K72" s="3">
        <f t="shared" si="19"/>
        <v>2.6620370370370461E-3</v>
      </c>
      <c r="L72" s="4">
        <v>0.3112847222222222</v>
      </c>
      <c r="M72" s="4">
        <v>0.63</v>
      </c>
      <c r="N72" s="4">
        <f t="shared" si="20"/>
        <v>0.31871527777777781</v>
      </c>
      <c r="O72" s="4">
        <f t="shared" si="21"/>
        <v>2.6967592592592737E-3</v>
      </c>
      <c r="P72" s="4">
        <v>0.63269675925925928</v>
      </c>
      <c r="Q72" s="4">
        <v>0.84959490740740751</v>
      </c>
      <c r="R72" s="4">
        <f t="shared" si="22"/>
        <v>0.21689814814814823</v>
      </c>
      <c r="S72" s="4"/>
      <c r="T72" s="4">
        <f t="shared" si="23"/>
        <v>0.62598379629629652</v>
      </c>
    </row>
    <row r="73" spans="1:20">
      <c r="A73" s="1">
        <v>72</v>
      </c>
      <c r="B73" s="2">
        <v>21</v>
      </c>
      <c r="C73" s="2" t="s">
        <v>222</v>
      </c>
      <c r="D73" s="2" t="s">
        <v>210</v>
      </c>
      <c r="E73" s="6" t="s">
        <v>223</v>
      </c>
      <c r="F73" s="2" t="s">
        <v>86</v>
      </c>
      <c r="H73" s="3">
        <v>0.22361111111111101</v>
      </c>
      <c r="I73" s="3">
        <v>0.27769675925925924</v>
      </c>
      <c r="J73" s="3">
        <f t="shared" ref="J73" si="24">I73-H73</f>
        <v>5.408564814814823E-2</v>
      </c>
      <c r="K73" s="3">
        <f t="shared" ref="K73" si="25">L73-I73</f>
        <v>6.0879629629629894E-3</v>
      </c>
      <c r="L73" s="4">
        <v>0.28378472222222223</v>
      </c>
      <c r="M73" s="4">
        <v>0.63112268518518522</v>
      </c>
      <c r="N73" s="4">
        <f t="shared" ref="N73" si="26">M73-L73</f>
        <v>0.34733796296296299</v>
      </c>
      <c r="O73" s="4">
        <f t="shared" ref="O73" si="27">P73-M73</f>
        <v>2.6273148148148184E-3</v>
      </c>
      <c r="P73" s="4">
        <v>0.63375000000000004</v>
      </c>
      <c r="Q73" s="4">
        <v>0.85270833333333329</v>
      </c>
      <c r="R73" s="4">
        <f t="shared" ref="R73" si="28">Q73-P73</f>
        <v>0.21895833333333325</v>
      </c>
      <c r="S73" s="4"/>
      <c r="T73" s="4">
        <f t="shared" ref="T73" si="29">J73+K73+N73+O73+R73</f>
        <v>0.62909722222222231</v>
      </c>
    </row>
    <row r="74" spans="1:20">
      <c r="A74" s="1">
        <v>73</v>
      </c>
      <c r="B74" s="2">
        <v>131</v>
      </c>
      <c r="C74" s="2" t="s">
        <v>176</v>
      </c>
      <c r="D74" s="2" t="s">
        <v>210</v>
      </c>
      <c r="E74" s="6" t="s">
        <v>177</v>
      </c>
      <c r="F74" s="2" t="s">
        <v>32</v>
      </c>
      <c r="H74" s="3">
        <v>0.22361111111111101</v>
      </c>
      <c r="I74" s="3">
        <v>0.28967592592592589</v>
      </c>
      <c r="J74" s="3">
        <f t="shared" si="18"/>
        <v>6.6064814814814882E-2</v>
      </c>
      <c r="K74" s="3">
        <f t="shared" si="19"/>
        <v>6.4004629629629828E-3</v>
      </c>
      <c r="L74" s="4">
        <v>0.29607638888888888</v>
      </c>
      <c r="M74" s="4">
        <v>0.61275462962962968</v>
      </c>
      <c r="N74" s="4">
        <f t="shared" si="20"/>
        <v>0.3166782407407408</v>
      </c>
      <c r="O74" s="4">
        <f t="shared" si="21"/>
        <v>3.9699074074073248E-3</v>
      </c>
      <c r="P74" s="4">
        <v>0.616724537037037</v>
      </c>
      <c r="Q74" s="4">
        <v>0.85276620370370371</v>
      </c>
      <c r="R74" s="4">
        <f t="shared" si="22"/>
        <v>0.23604166666666671</v>
      </c>
      <c r="S74" s="4"/>
      <c r="T74" s="4">
        <f t="shared" si="23"/>
        <v>0.62915509259259272</v>
      </c>
    </row>
    <row r="75" spans="1:20">
      <c r="A75" s="1">
        <v>74</v>
      </c>
      <c r="B75" s="2">
        <v>94</v>
      </c>
      <c r="C75" s="2" t="s">
        <v>178</v>
      </c>
      <c r="D75" s="2" t="s">
        <v>210</v>
      </c>
      <c r="E75" s="6" t="s">
        <v>179</v>
      </c>
      <c r="F75" s="2" t="s">
        <v>26</v>
      </c>
      <c r="H75" s="3">
        <v>0.22361111111111101</v>
      </c>
      <c r="I75" s="3">
        <v>0.29060185185185183</v>
      </c>
      <c r="J75" s="3">
        <f t="shared" si="18"/>
        <v>6.6990740740740823E-2</v>
      </c>
      <c r="K75" s="3">
        <f t="shared" si="19"/>
        <v>0</v>
      </c>
      <c r="L75" s="4">
        <v>0.29060185185185183</v>
      </c>
      <c r="M75" s="4">
        <v>0.61831018518518521</v>
      </c>
      <c r="N75" s="4">
        <f t="shared" si="20"/>
        <v>0.32770833333333338</v>
      </c>
      <c r="O75" s="4">
        <f t="shared" si="21"/>
        <v>3.3680555555555269E-3</v>
      </c>
      <c r="P75" s="4">
        <v>0.62167824074074074</v>
      </c>
      <c r="Q75" s="4">
        <v>0.85652777777777767</v>
      </c>
      <c r="R75" s="4">
        <f t="shared" si="22"/>
        <v>0.23484953703703693</v>
      </c>
      <c r="S75" s="4"/>
      <c r="T75" s="4">
        <f t="shared" si="23"/>
        <v>0.63291666666666668</v>
      </c>
    </row>
    <row r="76" spans="1:20">
      <c r="A76" s="1">
        <v>75</v>
      </c>
      <c r="B76" s="2">
        <v>79</v>
      </c>
      <c r="C76" s="2" t="s">
        <v>180</v>
      </c>
      <c r="D76" s="2" t="s">
        <v>210</v>
      </c>
      <c r="E76" s="6" t="s">
        <v>181</v>
      </c>
      <c r="F76" s="2" t="s">
        <v>32</v>
      </c>
      <c r="H76" s="3">
        <v>0.22361111111111101</v>
      </c>
      <c r="I76" s="3">
        <v>0.29106481481481478</v>
      </c>
      <c r="J76" s="3">
        <f t="shared" si="18"/>
        <v>6.7453703703703766E-2</v>
      </c>
      <c r="K76" s="3">
        <f t="shared" si="19"/>
        <v>4.1666666666667074E-3</v>
      </c>
      <c r="L76" s="4">
        <v>0.29523148148148148</v>
      </c>
      <c r="M76" s="4">
        <v>0.61719907407407404</v>
      </c>
      <c r="N76" s="4">
        <f t="shared" si="20"/>
        <v>0.32196759259259256</v>
      </c>
      <c r="O76" s="4">
        <f t="shared" si="21"/>
        <v>3.4722222222222099E-3</v>
      </c>
      <c r="P76" s="4">
        <v>0.62067129629629625</v>
      </c>
      <c r="Q76" s="4">
        <v>0.85865740740740737</v>
      </c>
      <c r="R76" s="4">
        <f t="shared" si="22"/>
        <v>0.23798611111111112</v>
      </c>
      <c r="S76" s="4"/>
      <c r="T76" s="4">
        <f t="shared" si="23"/>
        <v>0.63504629629629639</v>
      </c>
    </row>
    <row r="77" spans="1:20">
      <c r="A77" s="1">
        <v>76</v>
      </c>
      <c r="B77" s="2">
        <v>96</v>
      </c>
      <c r="C77" s="2" t="s">
        <v>182</v>
      </c>
      <c r="D77" s="2" t="s">
        <v>210</v>
      </c>
      <c r="E77" s="6" t="s">
        <v>183</v>
      </c>
      <c r="F77" s="2" t="s">
        <v>32</v>
      </c>
      <c r="H77" s="3">
        <v>0.22361111111111101</v>
      </c>
      <c r="I77" s="3">
        <v>0.28881944444444446</v>
      </c>
      <c r="J77" s="3">
        <f t="shared" si="18"/>
        <v>6.5208333333333451E-2</v>
      </c>
      <c r="K77" s="3">
        <f t="shared" si="19"/>
        <v>0</v>
      </c>
      <c r="L77" s="4">
        <v>0.28881944444444446</v>
      </c>
      <c r="M77" s="4">
        <v>0.60962962962962963</v>
      </c>
      <c r="N77" s="4">
        <f t="shared" si="20"/>
        <v>0.32081018518518517</v>
      </c>
      <c r="O77" s="4">
        <f t="shared" si="21"/>
        <v>6.0069444444443842E-3</v>
      </c>
      <c r="P77" s="4">
        <v>0.61563657407407402</v>
      </c>
      <c r="Q77" s="4">
        <v>0.85986111111111108</v>
      </c>
      <c r="R77" s="4">
        <f t="shared" si="22"/>
        <v>0.24422453703703706</v>
      </c>
      <c r="S77" s="4"/>
      <c r="T77" s="4">
        <f t="shared" si="23"/>
        <v>0.63625000000000009</v>
      </c>
    </row>
    <row r="78" spans="1:20">
      <c r="A78" s="1">
        <v>77</v>
      </c>
      <c r="B78" s="2">
        <v>100</v>
      </c>
      <c r="C78" s="2" t="s">
        <v>23</v>
      </c>
      <c r="D78" s="2" t="s">
        <v>210</v>
      </c>
      <c r="E78" s="6" t="s">
        <v>24</v>
      </c>
      <c r="F78" s="2" t="s">
        <v>184</v>
      </c>
      <c r="H78" s="3">
        <v>0.22361111111111101</v>
      </c>
      <c r="I78" s="3">
        <v>0.29812500000000003</v>
      </c>
      <c r="J78" s="3">
        <f t="shared" si="18"/>
        <v>7.4513888888889018E-2</v>
      </c>
      <c r="K78" s="3">
        <f t="shared" si="19"/>
        <v>5.439814814814814E-3</v>
      </c>
      <c r="L78" s="4">
        <v>0.30356481481481484</v>
      </c>
      <c r="M78" s="4">
        <v>0.63402777777777775</v>
      </c>
      <c r="N78" s="4">
        <f t="shared" si="20"/>
        <v>0.3304629629629629</v>
      </c>
      <c r="O78" s="4">
        <f t="shared" si="21"/>
        <v>4.6180555555556113E-3</v>
      </c>
      <c r="P78" s="4">
        <v>0.63864583333333336</v>
      </c>
      <c r="Q78" s="4">
        <v>0.86318287037037045</v>
      </c>
      <c r="R78" s="4">
        <f t="shared" si="22"/>
        <v>0.22453703703703709</v>
      </c>
      <c r="S78" s="4"/>
      <c r="T78" s="4">
        <f t="shared" si="23"/>
        <v>0.63957175925925946</v>
      </c>
    </row>
    <row r="79" spans="1:20">
      <c r="A79" s="1">
        <v>78</v>
      </c>
      <c r="B79" s="2">
        <v>68</v>
      </c>
      <c r="C79" s="2" t="s">
        <v>185</v>
      </c>
      <c r="D79" s="2" t="s">
        <v>210</v>
      </c>
      <c r="E79" s="6" t="s">
        <v>186</v>
      </c>
      <c r="F79" s="2" t="s">
        <v>26</v>
      </c>
      <c r="H79" s="3">
        <v>0.22361111111111101</v>
      </c>
      <c r="I79" s="3">
        <v>0.28314814814814815</v>
      </c>
      <c r="J79" s="3">
        <f t="shared" si="18"/>
        <v>5.9537037037037138E-2</v>
      </c>
      <c r="K79" s="3">
        <f t="shared" si="19"/>
        <v>3.8773148148148473E-3</v>
      </c>
      <c r="L79" s="4">
        <v>0.287025462962963</v>
      </c>
      <c r="M79" s="4">
        <v>0.61777777777777776</v>
      </c>
      <c r="N79" s="4">
        <f t="shared" si="20"/>
        <v>0.33075231481481476</v>
      </c>
      <c r="O79" s="4">
        <f t="shared" si="21"/>
        <v>1.8055555555555047E-3</v>
      </c>
      <c r="P79" s="4">
        <v>0.61958333333333326</v>
      </c>
      <c r="Q79" s="4">
        <v>0.86849537037037028</v>
      </c>
      <c r="R79" s="4">
        <f t="shared" si="22"/>
        <v>0.24891203703703701</v>
      </c>
      <c r="S79" s="4"/>
      <c r="T79" s="4">
        <f t="shared" si="23"/>
        <v>0.6448842592592593</v>
      </c>
    </row>
    <row r="80" spans="1:20">
      <c r="A80" s="1">
        <v>79</v>
      </c>
      <c r="B80" s="2">
        <v>77</v>
      </c>
      <c r="C80" s="2" t="s">
        <v>51</v>
      </c>
      <c r="D80" s="2" t="s">
        <v>210</v>
      </c>
      <c r="E80" s="6" t="s">
        <v>187</v>
      </c>
      <c r="F80" s="2" t="s">
        <v>32</v>
      </c>
      <c r="H80" s="3">
        <v>0.22361111111111101</v>
      </c>
      <c r="I80" s="3">
        <v>0.30083333333333334</v>
      </c>
      <c r="J80" s="3">
        <f t="shared" si="18"/>
        <v>7.7222222222222331E-2</v>
      </c>
      <c r="K80" s="3">
        <f t="shared" si="19"/>
        <v>4.4675925925925508E-3</v>
      </c>
      <c r="L80" s="4">
        <v>0.30530092592592589</v>
      </c>
      <c r="M80" s="4">
        <v>0.66028935185185189</v>
      </c>
      <c r="N80" s="4">
        <f t="shared" si="20"/>
        <v>0.354988425925926</v>
      </c>
      <c r="O80" s="4">
        <f t="shared" si="21"/>
        <v>-0.11827546296296287</v>
      </c>
      <c r="P80" s="4">
        <v>0.54201388888888902</v>
      </c>
      <c r="Q80" s="4">
        <v>0.86949074074074073</v>
      </c>
      <c r="R80" s="4">
        <f t="shared" si="22"/>
        <v>0.32747685185185171</v>
      </c>
      <c r="S80" s="4"/>
      <c r="T80" s="4">
        <f t="shared" si="23"/>
        <v>0.64587962962962975</v>
      </c>
    </row>
    <row r="81" spans="1:21">
      <c r="A81" s="1">
        <v>80</v>
      </c>
      <c r="B81" s="2">
        <v>83</v>
      </c>
      <c r="C81" s="2" t="s">
        <v>188</v>
      </c>
      <c r="D81" s="2" t="s">
        <v>210</v>
      </c>
      <c r="E81" s="6" t="s">
        <v>189</v>
      </c>
      <c r="F81" s="2" t="s">
        <v>32</v>
      </c>
      <c r="H81" s="3">
        <v>0.22361111111111101</v>
      </c>
      <c r="I81" s="3">
        <v>0.29421296296296301</v>
      </c>
      <c r="J81" s="3">
        <f t="shared" si="18"/>
        <v>7.0601851851851999E-2</v>
      </c>
      <c r="K81" s="3">
        <f t="shared" si="19"/>
        <v>2.4780092592592562E-2</v>
      </c>
      <c r="L81" s="4">
        <v>0.31899305555555557</v>
      </c>
      <c r="M81" s="4">
        <v>0.63623842592592594</v>
      </c>
      <c r="N81" s="4">
        <f t="shared" si="20"/>
        <v>0.31724537037037037</v>
      </c>
      <c r="O81" s="4">
        <f t="shared" si="21"/>
        <v>4.155092592592502E-3</v>
      </c>
      <c r="P81" s="4">
        <v>0.64039351851851845</v>
      </c>
      <c r="Q81" s="4">
        <v>0.86949074074074073</v>
      </c>
      <c r="R81" s="4">
        <f t="shared" si="22"/>
        <v>0.22909722222222229</v>
      </c>
      <c r="S81" s="4"/>
      <c r="T81" s="4">
        <f t="shared" si="23"/>
        <v>0.64587962962962975</v>
      </c>
    </row>
    <row r="82" spans="1:21">
      <c r="A82" s="1">
        <v>81</v>
      </c>
      <c r="B82" s="2">
        <v>134</v>
      </c>
      <c r="C82" s="2" t="s">
        <v>190</v>
      </c>
      <c r="D82" s="2" t="s">
        <v>210</v>
      </c>
      <c r="E82" s="6" t="s">
        <v>191</v>
      </c>
      <c r="F82" s="2" t="s">
        <v>86</v>
      </c>
      <c r="H82" s="3">
        <v>0.22361111111111101</v>
      </c>
      <c r="I82" s="3">
        <v>0.29422453703703705</v>
      </c>
      <c r="J82" s="3">
        <f t="shared" si="18"/>
        <v>7.0613425925926038E-2</v>
      </c>
      <c r="K82" s="3">
        <f t="shared" si="19"/>
        <v>9.5601851851851993E-3</v>
      </c>
      <c r="L82" s="4">
        <v>0.30378472222222225</v>
      </c>
      <c r="M82" s="4">
        <v>0.63896990740740744</v>
      </c>
      <c r="N82" s="4">
        <f t="shared" si="20"/>
        <v>0.3351851851851852</v>
      </c>
      <c r="O82" s="4">
        <f t="shared" si="21"/>
        <v>3.3333333333332993E-3</v>
      </c>
      <c r="P82" s="4">
        <v>0.64230324074074074</v>
      </c>
      <c r="Q82" s="4">
        <v>0.87263888888888896</v>
      </c>
      <c r="R82" s="4">
        <f t="shared" si="22"/>
        <v>0.23033564814814822</v>
      </c>
      <c r="S82" s="4"/>
      <c r="T82" s="4">
        <f t="shared" si="23"/>
        <v>0.64902777777777798</v>
      </c>
    </row>
    <row r="83" spans="1:21">
      <c r="A83" s="1">
        <v>82</v>
      </c>
      <c r="B83" s="2">
        <v>55</v>
      </c>
      <c r="C83" s="2" t="s">
        <v>192</v>
      </c>
      <c r="D83" s="2" t="s">
        <v>210</v>
      </c>
      <c r="E83" s="6" t="s">
        <v>193</v>
      </c>
      <c r="F83" s="2" t="s">
        <v>19</v>
      </c>
      <c r="H83" s="3">
        <v>0.22361111111111101</v>
      </c>
      <c r="I83" s="3">
        <v>0.29831018518518521</v>
      </c>
      <c r="J83" s="3">
        <f t="shared" si="18"/>
        <v>7.4699074074074195E-2</v>
      </c>
      <c r="K83" s="3">
        <f t="shared" si="19"/>
        <v>7.4074074074074181E-3</v>
      </c>
      <c r="L83" s="4">
        <v>0.30571759259259262</v>
      </c>
      <c r="M83" s="4">
        <v>0.61362268518518526</v>
      </c>
      <c r="N83" s="4">
        <f t="shared" si="20"/>
        <v>0.30790509259259263</v>
      </c>
      <c r="O83" s="4">
        <f t="shared" si="21"/>
        <v>8.9120370370370239E-3</v>
      </c>
      <c r="P83" s="4">
        <v>0.62253472222222228</v>
      </c>
      <c r="Q83" s="4">
        <v>0.88003472222222223</v>
      </c>
      <c r="R83" s="4">
        <f t="shared" si="22"/>
        <v>0.25749999999999995</v>
      </c>
      <c r="S83" s="4"/>
      <c r="T83" s="4">
        <f t="shared" si="23"/>
        <v>0.65642361111111125</v>
      </c>
    </row>
    <row r="84" spans="1:21">
      <c r="A84" s="1">
        <v>83</v>
      </c>
      <c r="B84" s="2">
        <v>58</v>
      </c>
      <c r="C84" s="2" t="s">
        <v>194</v>
      </c>
      <c r="D84" s="2" t="s">
        <v>210</v>
      </c>
      <c r="E84" s="6" t="s">
        <v>195</v>
      </c>
      <c r="F84" s="2" t="s">
        <v>41</v>
      </c>
      <c r="H84" s="3">
        <v>0.22361111111111101</v>
      </c>
      <c r="I84" s="3">
        <v>0.29943287037037036</v>
      </c>
      <c r="J84" s="3">
        <f t="shared" si="18"/>
        <v>7.5821759259259353E-2</v>
      </c>
      <c r="K84" s="3">
        <f t="shared" si="19"/>
        <v>4.4560185185185119E-3</v>
      </c>
      <c r="L84" s="4">
        <v>0.30388888888888888</v>
      </c>
      <c r="M84" s="4">
        <v>0.54201388888888902</v>
      </c>
      <c r="N84" s="4">
        <f t="shared" si="20"/>
        <v>0.23812500000000014</v>
      </c>
      <c r="O84" s="4">
        <f t="shared" si="21"/>
        <v>0</v>
      </c>
      <c r="P84" s="4">
        <v>0.54201388888888902</v>
      </c>
      <c r="Q84" s="4">
        <v>0.8809027777777777</v>
      </c>
      <c r="R84" s="4">
        <f t="shared" si="22"/>
        <v>0.33888888888888868</v>
      </c>
      <c r="S84" s="4"/>
      <c r="T84" s="4">
        <f t="shared" si="23"/>
        <v>0.65729166666666672</v>
      </c>
    </row>
    <row r="85" spans="1:21">
      <c r="A85" s="1">
        <v>84</v>
      </c>
      <c r="B85" s="2">
        <v>85</v>
      </c>
      <c r="C85" s="2" t="s">
        <v>196</v>
      </c>
      <c r="D85" s="2" t="s">
        <v>210</v>
      </c>
      <c r="E85" s="6" t="s">
        <v>197</v>
      </c>
      <c r="F85" s="2" t="s">
        <v>32</v>
      </c>
      <c r="H85" s="3">
        <v>0.22361111111111101</v>
      </c>
      <c r="I85" s="3">
        <v>0.29701388888888886</v>
      </c>
      <c r="J85" s="3">
        <f t="shared" si="18"/>
        <v>7.3402777777777845E-2</v>
      </c>
      <c r="K85" s="3">
        <f t="shared" si="19"/>
        <v>6.2384259259259389E-3</v>
      </c>
      <c r="L85" s="4">
        <v>0.30325231481481479</v>
      </c>
      <c r="M85" s="4">
        <v>0.61784722222222221</v>
      </c>
      <c r="N85" s="4">
        <f t="shared" si="20"/>
        <v>0.31459490740740742</v>
      </c>
      <c r="O85" s="4">
        <f t="shared" si="21"/>
        <v>3.9467592592592471E-3</v>
      </c>
      <c r="P85" s="4">
        <v>0.62179398148148146</v>
      </c>
      <c r="Q85" s="4">
        <v>0.88346064814814806</v>
      </c>
      <c r="R85" s="4">
        <f t="shared" si="22"/>
        <v>0.2616666666666666</v>
      </c>
      <c r="S85" s="4"/>
      <c r="T85" s="4">
        <f t="shared" si="23"/>
        <v>0.65984953703703708</v>
      </c>
    </row>
    <row r="86" spans="1:21">
      <c r="A86" s="1">
        <v>85</v>
      </c>
      <c r="B86" s="2">
        <v>71</v>
      </c>
      <c r="C86" s="2" t="s">
        <v>198</v>
      </c>
      <c r="D86" s="2" t="s">
        <v>210</v>
      </c>
      <c r="E86" s="6" t="s">
        <v>199</v>
      </c>
      <c r="F86" s="2" t="s">
        <v>19</v>
      </c>
      <c r="H86" s="3">
        <v>0.22361111111111101</v>
      </c>
      <c r="I86" s="3">
        <v>0.30182870370370368</v>
      </c>
      <c r="J86" s="3">
        <f t="shared" si="18"/>
        <v>7.8217592592592672E-2</v>
      </c>
      <c r="K86" s="3">
        <f t="shared" si="19"/>
        <v>4.2013888888888795E-3</v>
      </c>
      <c r="L86" s="4">
        <v>0.30603009259259256</v>
      </c>
      <c r="M86" s="4">
        <v>0.63258101851851845</v>
      </c>
      <c r="N86" s="4">
        <f t="shared" si="20"/>
        <v>0.32655092592592588</v>
      </c>
      <c r="O86" s="4">
        <f t="shared" si="21"/>
        <v>4.3287037037037512E-3</v>
      </c>
      <c r="P86" s="4">
        <v>0.6369097222222222</v>
      </c>
      <c r="Q86" s="4">
        <v>0.88747685185185177</v>
      </c>
      <c r="R86" s="4">
        <f t="shared" si="22"/>
        <v>0.25056712962962957</v>
      </c>
      <c r="S86" s="4"/>
      <c r="T86" s="4">
        <f t="shared" si="23"/>
        <v>0.66386574074074078</v>
      </c>
    </row>
    <row r="87" spans="1:21">
      <c r="A87" s="1">
        <v>86</v>
      </c>
      <c r="B87" s="2">
        <v>24</v>
      </c>
      <c r="C87" s="2" t="s">
        <v>200</v>
      </c>
      <c r="D87" s="2" t="s">
        <v>210</v>
      </c>
      <c r="E87" s="6" t="s">
        <v>201</v>
      </c>
      <c r="F87" s="2" t="s">
        <v>109</v>
      </c>
      <c r="H87" s="3">
        <v>0.22361111111111101</v>
      </c>
      <c r="I87" s="3">
        <v>0.28813657407407406</v>
      </c>
      <c r="J87" s="3">
        <f t="shared" si="18"/>
        <v>6.4525462962963048E-2</v>
      </c>
      <c r="K87" s="3">
        <f t="shared" si="19"/>
        <v>0</v>
      </c>
      <c r="L87" s="4">
        <v>0.28813657407407406</v>
      </c>
      <c r="M87" s="4">
        <v>0.62034722222222227</v>
      </c>
      <c r="N87" s="4">
        <f t="shared" si="20"/>
        <v>0.33221064814814821</v>
      </c>
      <c r="O87" s="4">
        <f t="shared" si="21"/>
        <v>7.51157407407399E-3</v>
      </c>
      <c r="P87" s="4">
        <v>0.62785879629629626</v>
      </c>
      <c r="Q87" s="4">
        <v>0.89046296296296301</v>
      </c>
      <c r="R87" s="4">
        <f t="shared" si="22"/>
        <v>0.26260416666666675</v>
      </c>
      <c r="S87" s="4"/>
      <c r="T87" s="4">
        <f t="shared" si="23"/>
        <v>0.66685185185185203</v>
      </c>
    </row>
    <row r="88" spans="1:21">
      <c r="A88" s="1">
        <v>87</v>
      </c>
      <c r="B88" s="2">
        <v>9</v>
      </c>
      <c r="C88" s="2" t="s">
        <v>202</v>
      </c>
      <c r="D88" s="2" t="s">
        <v>210</v>
      </c>
      <c r="E88" s="6" t="s">
        <v>203</v>
      </c>
      <c r="F88" s="2" t="s">
        <v>38</v>
      </c>
      <c r="H88" s="3">
        <v>0.22361111111111101</v>
      </c>
      <c r="I88" s="3">
        <v>0.28849537037037037</v>
      </c>
      <c r="J88" s="3">
        <f t="shared" si="18"/>
        <v>6.4884259259259364E-2</v>
      </c>
      <c r="K88" s="3">
        <f t="shared" si="19"/>
        <v>7.1875000000000133E-3</v>
      </c>
      <c r="L88" s="4">
        <v>0.29568287037037039</v>
      </c>
      <c r="M88" s="4">
        <v>0.6358449074074074</v>
      </c>
      <c r="N88" s="4">
        <f t="shared" si="20"/>
        <v>0.34016203703703701</v>
      </c>
      <c r="O88" s="4">
        <f t="shared" si="21"/>
        <v>4.155092592592613E-3</v>
      </c>
      <c r="P88" s="4">
        <v>0.64</v>
      </c>
      <c r="Q88" s="4">
        <v>0.89564814814814808</v>
      </c>
      <c r="R88" s="4">
        <f t="shared" si="22"/>
        <v>0.25564814814814807</v>
      </c>
      <c r="S88" s="4"/>
      <c r="T88" s="4">
        <f t="shared" si="23"/>
        <v>0.6720370370370371</v>
      </c>
    </row>
    <row r="89" spans="1:21">
      <c r="A89" s="1">
        <v>88</v>
      </c>
      <c r="B89" s="2">
        <v>512</v>
      </c>
      <c r="C89" s="2" t="s">
        <v>232</v>
      </c>
      <c r="D89" s="2" t="s">
        <v>233</v>
      </c>
      <c r="E89" s="7" t="s">
        <v>234</v>
      </c>
      <c r="F89" s="2" t="s">
        <v>38</v>
      </c>
      <c r="H89" s="3">
        <v>0.22361111111111101</v>
      </c>
      <c r="I89" s="3">
        <v>0.30189814814814814</v>
      </c>
      <c r="J89" s="3">
        <f t="shared" ref="J89" si="30">I89-H89</f>
        <v>7.8287037037037127E-2</v>
      </c>
      <c r="K89" s="3">
        <f t="shared" ref="K89" si="31">L89-I89</f>
        <v>7.2569444444444686E-3</v>
      </c>
      <c r="L89" s="3">
        <v>0.30915509259259261</v>
      </c>
      <c r="M89" s="3">
        <v>0.63624999999999998</v>
      </c>
      <c r="N89" s="4">
        <f t="shared" ref="N89" si="32">M89-L89</f>
        <v>0.32709490740740738</v>
      </c>
      <c r="O89" s="4">
        <f t="shared" ref="O89" si="33">P89-M89</f>
        <v>7.5925925925925952E-3</v>
      </c>
      <c r="P89" s="3">
        <v>0.64384259259259258</v>
      </c>
      <c r="Q89" s="3">
        <v>0.89864583333333325</v>
      </c>
      <c r="R89" s="4">
        <f t="shared" ref="R89" si="34">Q89-P89</f>
        <v>0.25480324074074068</v>
      </c>
      <c r="S89" s="4"/>
      <c r="T89" s="4">
        <f t="shared" ref="T89" si="35">J89+K89+N89+O89+R89</f>
        <v>0.67503472222222227</v>
      </c>
    </row>
    <row r="90" spans="1:21">
      <c r="A90" s="1">
        <v>89</v>
      </c>
      <c r="B90" s="2">
        <v>27</v>
      </c>
      <c r="C90" s="2" t="s">
        <v>204</v>
      </c>
      <c r="D90" s="2" t="s">
        <v>210</v>
      </c>
      <c r="E90" s="6" t="s">
        <v>205</v>
      </c>
      <c r="F90" s="2" t="s">
        <v>38</v>
      </c>
      <c r="H90" s="3">
        <v>0.22361111111111101</v>
      </c>
      <c r="I90" s="3">
        <v>0.30254629629629631</v>
      </c>
      <c r="J90" s="3">
        <f t="shared" si="18"/>
        <v>7.8935185185185303E-2</v>
      </c>
      <c r="K90" s="3">
        <f t="shared" si="19"/>
        <v>8.6458333333333526E-3</v>
      </c>
      <c r="L90" s="4">
        <v>0.31119212962962967</v>
      </c>
      <c r="M90" s="4">
        <v>0.6242361111111111</v>
      </c>
      <c r="N90" s="4">
        <f t="shared" si="20"/>
        <v>0.31304398148148144</v>
      </c>
      <c r="O90" s="4">
        <f t="shared" si="21"/>
        <v>2.7314814814815014E-3</v>
      </c>
      <c r="P90" s="4">
        <v>0.6269675925925926</v>
      </c>
      <c r="Q90" s="4">
        <v>0.89943287037037034</v>
      </c>
      <c r="R90" s="4">
        <f t="shared" si="22"/>
        <v>0.27246527777777774</v>
      </c>
      <c r="S90" s="4"/>
      <c r="T90" s="4">
        <f t="shared" si="23"/>
        <v>0.67582175925925936</v>
      </c>
    </row>
    <row r="91" spans="1:21">
      <c r="A91" s="1">
        <v>90</v>
      </c>
      <c r="B91" s="2">
        <v>140</v>
      </c>
      <c r="C91" s="2" t="s">
        <v>206</v>
      </c>
      <c r="D91" s="2" t="s">
        <v>210</v>
      </c>
      <c r="E91" s="6" t="s">
        <v>207</v>
      </c>
      <c r="F91" s="2" t="s">
        <v>65</v>
      </c>
      <c r="H91" s="3">
        <v>0.22361111111111101</v>
      </c>
      <c r="I91" s="3">
        <v>0.3028703703703704</v>
      </c>
      <c r="J91" s="3">
        <f t="shared" si="18"/>
        <v>7.925925925925939E-2</v>
      </c>
      <c r="K91" s="3">
        <f t="shared" si="19"/>
        <v>5.1273148148147651E-3</v>
      </c>
      <c r="L91" s="4">
        <v>0.30799768518518517</v>
      </c>
      <c r="M91" s="4">
        <v>0.65535879629629623</v>
      </c>
      <c r="N91" s="4">
        <f t="shared" si="20"/>
        <v>0.34736111111111106</v>
      </c>
      <c r="O91" s="4">
        <f t="shared" si="21"/>
        <v>5.7175925925926352E-3</v>
      </c>
      <c r="P91" s="4">
        <v>0.66107638888888887</v>
      </c>
      <c r="Q91" s="4">
        <v>0.90134259259259253</v>
      </c>
      <c r="R91" s="4">
        <f t="shared" si="22"/>
        <v>0.24026620370370366</v>
      </c>
      <c r="S91" s="4"/>
      <c r="T91" s="4">
        <f t="shared" si="23"/>
        <v>0.67773148148148155</v>
      </c>
    </row>
    <row r="92" spans="1:21">
      <c r="A92" s="1">
        <v>91</v>
      </c>
      <c r="B92" s="2">
        <v>3</v>
      </c>
      <c r="C92" s="2" t="s">
        <v>220</v>
      </c>
      <c r="D92" s="2" t="s">
        <v>210</v>
      </c>
      <c r="E92" s="6" t="s">
        <v>221</v>
      </c>
      <c r="F92" s="2" t="s">
        <v>86</v>
      </c>
      <c r="H92" s="3">
        <v>0.22361111111111101</v>
      </c>
      <c r="I92" s="3">
        <v>0.29571759259259262</v>
      </c>
      <c r="J92" s="3">
        <f t="shared" ref="J92" si="36">I92-H92</f>
        <v>7.2106481481481605E-2</v>
      </c>
      <c r="K92" s="3">
        <f t="shared" ref="K92" si="37">L92-I92</f>
        <v>7.4768518518518179E-3</v>
      </c>
      <c r="L92" s="3">
        <v>0.30319444444444443</v>
      </c>
      <c r="M92" s="4">
        <v>0.63872685185185185</v>
      </c>
      <c r="N92" s="4">
        <f t="shared" ref="N92" si="38">M92-L92</f>
        <v>0.33553240740740742</v>
      </c>
      <c r="O92" s="4">
        <f t="shared" ref="O92" si="39">P92-M92</f>
        <v>7.8587962962962665E-3</v>
      </c>
      <c r="P92" s="4">
        <v>0.64658564814814812</v>
      </c>
      <c r="Q92" s="4">
        <v>0.90233796296296298</v>
      </c>
      <c r="R92" s="4">
        <f t="shared" ref="R92" si="40">Q92-P92</f>
        <v>0.25575231481481486</v>
      </c>
      <c r="S92" s="4"/>
      <c r="T92" s="4">
        <f>J92+K92+N92+O92+R92</f>
        <v>0.678726851851852</v>
      </c>
    </row>
    <row r="93" spans="1:21">
      <c r="A93" s="1">
        <v>92</v>
      </c>
      <c r="B93" s="2">
        <v>121</v>
      </c>
      <c r="C93" s="2" t="s">
        <v>215</v>
      </c>
      <c r="D93" s="2" t="s">
        <v>210</v>
      </c>
      <c r="E93" s="6" t="s">
        <v>216</v>
      </c>
      <c r="F93" s="2" t="s">
        <v>38</v>
      </c>
      <c r="H93" s="3">
        <v>0.22361111111111101</v>
      </c>
      <c r="I93" s="3">
        <v>0.31243055555555554</v>
      </c>
      <c r="J93" s="3">
        <f t="shared" si="18"/>
        <v>8.8819444444444534E-2</v>
      </c>
      <c r="K93" s="3">
        <f t="shared" si="19"/>
        <v>6.8634259259259256E-3</v>
      </c>
      <c r="L93" s="4">
        <v>0.31929398148148147</v>
      </c>
      <c r="M93" s="4">
        <v>0.65598379629629633</v>
      </c>
      <c r="N93" s="4">
        <f t="shared" si="20"/>
        <v>0.33668981481481486</v>
      </c>
      <c r="O93" s="4">
        <f t="shared" si="21"/>
        <v>3.4143518518517935E-3</v>
      </c>
      <c r="P93" s="4">
        <v>0.65939814814814812</v>
      </c>
      <c r="Q93" s="4">
        <v>0.9337037037037037</v>
      </c>
      <c r="R93" s="4">
        <f t="shared" si="22"/>
        <v>0.27430555555555558</v>
      </c>
      <c r="S93" s="4"/>
      <c r="T93" s="4">
        <f t="shared" si="23"/>
        <v>0.71009259259259272</v>
      </c>
    </row>
    <row r="94" spans="1:21">
      <c r="A94" s="1">
        <v>93</v>
      </c>
      <c r="B94" s="2">
        <v>508</v>
      </c>
      <c r="C94" s="2" t="s">
        <v>218</v>
      </c>
      <c r="D94" s="2" t="s">
        <v>217</v>
      </c>
      <c r="E94" s="6" t="s">
        <v>219</v>
      </c>
      <c r="F94" s="2" t="s">
        <v>38</v>
      </c>
      <c r="H94" s="3">
        <v>0.22361111111111101</v>
      </c>
      <c r="I94" s="3">
        <v>0.29527777777777781</v>
      </c>
      <c r="J94" s="3">
        <f t="shared" si="18"/>
        <v>7.1666666666666795E-2</v>
      </c>
      <c r="K94" s="3">
        <f t="shared" si="19"/>
        <v>1.0601851851851807E-2</v>
      </c>
      <c r="L94" s="4">
        <v>0.30587962962962961</v>
      </c>
      <c r="M94" s="4">
        <v>0.65847222222222224</v>
      </c>
      <c r="N94" s="4">
        <f t="shared" si="20"/>
        <v>0.35259259259259262</v>
      </c>
      <c r="O94" s="4">
        <f t="shared" si="21"/>
        <v>4.155092592592613E-3</v>
      </c>
      <c r="P94" s="4">
        <v>0.66262731481481485</v>
      </c>
      <c r="Q94" s="4">
        <v>0.93480324074074073</v>
      </c>
      <c r="R94" s="4">
        <f t="shared" si="22"/>
        <v>0.27217592592592588</v>
      </c>
      <c r="S94" s="4"/>
      <c r="T94" s="4">
        <f t="shared" si="23"/>
        <v>0.71119212962962974</v>
      </c>
      <c r="U94"/>
    </row>
    <row r="95" spans="1:21">
      <c r="A95" s="1">
        <v>94</v>
      </c>
      <c r="B95" s="2">
        <v>116</v>
      </c>
      <c r="C95" s="2" t="s">
        <v>213</v>
      </c>
      <c r="D95" s="2" t="s">
        <v>210</v>
      </c>
      <c r="E95" s="6" t="s">
        <v>214</v>
      </c>
      <c r="F95" s="2" t="s">
        <v>38</v>
      </c>
      <c r="H95" s="3">
        <v>0.22361111111111101</v>
      </c>
      <c r="I95" s="3">
        <v>0.31162037037037038</v>
      </c>
      <c r="J95" s="3">
        <f t="shared" si="18"/>
        <v>8.800925925925937E-2</v>
      </c>
      <c r="K95" s="3">
        <f t="shared" si="19"/>
        <v>1.0185185185185186E-2</v>
      </c>
      <c r="L95" s="4">
        <v>0.32180555555555557</v>
      </c>
      <c r="M95" s="4">
        <v>0.54201388888888902</v>
      </c>
      <c r="N95" s="4">
        <f t="shared" si="20"/>
        <v>0.22020833333333345</v>
      </c>
      <c r="O95" s="4">
        <f t="shared" si="21"/>
        <v>0</v>
      </c>
      <c r="P95" s="4">
        <v>0.54201388888888902</v>
      </c>
      <c r="Q95" s="4">
        <v>0.95421296296296287</v>
      </c>
      <c r="R95" s="4">
        <f t="shared" si="22"/>
        <v>0.41219907407407386</v>
      </c>
      <c r="S95" s="4"/>
      <c r="T95" s="4">
        <f t="shared" si="23"/>
        <v>0.73060185185185189</v>
      </c>
      <c r="U95"/>
    </row>
    <row r="96" spans="1:21">
      <c r="A96" s="1">
        <v>95</v>
      </c>
      <c r="B96" s="2">
        <v>110</v>
      </c>
      <c r="C96" s="2" t="s">
        <v>212</v>
      </c>
      <c r="D96" s="2" t="s">
        <v>210</v>
      </c>
      <c r="F96" s="2" t="s">
        <v>211</v>
      </c>
      <c r="H96" s="3">
        <v>0.22361111111111101</v>
      </c>
      <c r="I96" s="3">
        <v>0.29314814814814816</v>
      </c>
      <c r="J96" s="3">
        <f t="shared" si="18"/>
        <v>6.9537037037037147E-2</v>
      </c>
      <c r="K96" s="3">
        <f t="shared" si="19"/>
        <v>1.1817129629629608E-2</v>
      </c>
      <c r="L96" s="4">
        <v>0.30496527777777777</v>
      </c>
      <c r="M96" s="4">
        <v>0.54201388888888902</v>
      </c>
      <c r="N96" s="4">
        <f t="shared" si="20"/>
        <v>0.23704861111111125</v>
      </c>
      <c r="O96" s="4">
        <f t="shared" si="21"/>
        <v>0</v>
      </c>
      <c r="P96" s="4">
        <v>0.54201388888888902</v>
      </c>
      <c r="Q96" s="4">
        <v>0.99641203703703696</v>
      </c>
      <c r="R96" s="4">
        <f t="shared" si="22"/>
        <v>0.45439814814814794</v>
      </c>
      <c r="S96" s="4"/>
      <c r="T96" s="4">
        <f t="shared" si="23"/>
        <v>0.77280092592592597</v>
      </c>
      <c r="U96"/>
    </row>
    <row r="97" spans="21:21">
      <c r="U97" s="8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순위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이태영</dc:creator>
  <cp:lastModifiedBy>이태영</cp:lastModifiedBy>
  <dcterms:created xsi:type="dcterms:W3CDTF">2025-06-22T23:55:45Z</dcterms:created>
  <dcterms:modified xsi:type="dcterms:W3CDTF">2025-06-23T08:14:01Z</dcterms:modified>
  <cp:contentStatus>최종본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